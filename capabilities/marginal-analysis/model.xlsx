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st structure" sheetId="2" state="visible" r:id="rId4"/>
    <sheet name="Marginal-cost schedules" sheetId="3" state="visible" r:id="rId5"/>
    <sheet name="Optimization" sheetId="4" state="visible" r:id="rId6"/>
    <sheet name="Checks" sheetId="5" state="visible" r:id="rId7"/>
    <sheet name="Summary" sheetId="6" state="visible" r:id="rId8"/>
  </sheets>
  <definedNames>
    <definedName function="false" hidden="false" name="BLENDED_RATE" vbProcedure="false">'Cost structure'!$B$20</definedName>
    <definedName function="false" hidden="false" name="CAR_BEDS" vbProcedure="false">Optimization!$B$5</definedName>
    <definedName function="false" hidden="false" name="CAR_CAP" vbProcedure="false">Inputs!$B$17</definedName>
    <definedName function="false" hidden="false" name="CAR_CROSS" vbProcedure="false">'Marginal-cost schedules'!$L$4</definedName>
    <definedName function="false" hidden="false" name="CAR_DIM" vbProcedure="false">Inputs!$B$14</definedName>
    <definedName function="false" hidden="false" name="CAR_FERT" vbProcedure="false">Inputs!$B$11</definedName>
    <definedName function="false" hidden="false" name="CAR_HRS" vbProcedure="false">Inputs!$B$8</definedName>
    <definedName function="false" hidden="false" name="CAR_LABOR" vbProcedure="false">'Cost structure'!$B$5</definedName>
    <definedName function="false" hidden="false" name="CAR_LABOR_COST" vbProcedure="false">'Cost structure'!$B$22</definedName>
    <definedName function="false" hidden="false" name="CAR_MC" vbProcedure="false">'Marginal-cost schedules'!$K$7:$K$26</definedName>
    <definedName function="false" hidden="false" name="CAR_PRICE" vbProcedure="false">Inputs!$B$5</definedName>
    <definedName function="false" hidden="false" name="CAR_PROFIT" vbProcedure="false">'Cost structure'!$B$25</definedName>
    <definedName function="false" hidden="false" name="CAR_SA_COST" vbProcedure="false">'Marginal-cost schedules'!$J$7:$J$26</definedName>
    <definedName function="false" hidden="false" name="CAR_SA_LABOR" vbProcedure="false">'Marginal-cost schedules'!$I$7:$I$26</definedName>
    <definedName function="false" hidden="false" name="CHECK_PROFIT" vbProcedure="false">Inputs!$B$28</definedName>
    <definedName function="false" hidden="false" name="CHECK_TOL" vbProcedure="false">Inputs!$B$29</definedName>
    <definedName function="false" hidden="false" name="FERT_COST" vbProcedure="false">'Cost structure'!$B$16</definedName>
    <definedName function="false" hidden="false" name="FIXED_COST" vbProcedure="false">Inputs!$B$21</definedName>
    <definedName function="false" hidden="false" name="LABOR_COST" vbProcedure="false">'Cost structure'!$B$17</definedName>
    <definedName function="false" hidden="false" name="MAX_TEMPS" vbProcedure="false">Inputs!$B$26</definedName>
    <definedName function="false" hidden="false" name="MES_BEDS" vbProcedure="false">Optimization!$B$6</definedName>
    <definedName function="false" hidden="false" name="MES_CAP" vbProcedure="false">Inputs!$B$18</definedName>
    <definedName function="false" hidden="false" name="MES_CROSS" vbProcedure="false">'Marginal-cost schedules'!$S$4</definedName>
    <definedName function="false" hidden="false" name="MES_DIM" vbProcedure="false">Inputs!$B$15</definedName>
    <definedName function="false" hidden="false" name="MES_FERT" vbProcedure="false">Inputs!$B$12</definedName>
    <definedName function="false" hidden="false" name="MES_HRS" vbProcedure="false">Inputs!$B$9</definedName>
    <definedName function="false" hidden="false" name="MES_LABOR" vbProcedure="false">'Cost structure'!$B$6</definedName>
    <definedName function="false" hidden="false" name="MES_LABOR_COST" vbProcedure="false">'Cost structure'!$B$23</definedName>
    <definedName function="false" hidden="false" name="MES_MC" vbProcedure="false">'Marginal-cost schedules'!$R$7:$R$36</definedName>
    <definedName function="false" hidden="false" name="MES_PRICE" vbProcedure="false">Inputs!$B$6</definedName>
    <definedName function="false" hidden="false" name="MES_PROFIT" vbProcedure="false">'Cost structure'!$B$26</definedName>
    <definedName function="false" hidden="false" name="MES_SA_COST" vbProcedure="false">'Marginal-cost schedules'!$Q$7:$Q$36</definedName>
    <definedName function="false" hidden="false" name="MES_SA_LABOR" vbProcedure="false">'Marginal-cost schedules'!$P$7:$P$36</definedName>
    <definedName function="false" hidden="false" name="OTHER_VAR_COST" vbProcedure="false">Inputs!$B$27</definedName>
    <definedName function="false" hidden="false" name="OWN_HRS" vbProcedure="false">Inputs!$B$22</definedName>
    <definedName function="false" hidden="false" name="OWN_RATE" vbProcedure="false">Inputs!$B$23</definedName>
    <definedName function="false" hidden="false" name="OWN_USED" vbProcedure="false">'Cost structure'!$B$10</definedName>
    <definedName function="false" hidden="false" name="PROFIT" vbProcedure="false">Optimization!$B$8</definedName>
    <definedName function="false" hidden="false" name="REVENUE" vbProcedure="false">'Cost structure'!$B$15</definedName>
    <definedName function="false" hidden="false" name="TEMPS_NEEDED" vbProcedure="false">'Cost structure'!$B$12</definedName>
    <definedName function="false" hidden="false" name="TEMP_HRS" vbProcedure="false">Inputs!$B$25</definedName>
    <definedName function="false" hidden="false" name="TEMP_LABOR" vbProcedure="false">'Cost structure'!$B$11</definedName>
    <definedName function="false" hidden="false" name="TEMP_RATE" vbProcedure="false">Inputs!$B$24</definedName>
    <definedName function="false" hidden="false" name="TOM_BEDS" vbProcedure="false">Optimization!$B$4</definedName>
    <definedName function="false" hidden="false" name="TOM_CAP" vbProcedure="false">Inputs!$B$16</definedName>
    <definedName function="false" hidden="false" name="TOM_CROSS" vbProcedure="false">'Marginal-cost schedules'!$E$4</definedName>
    <definedName function="false" hidden="false" name="TOM_DIM" vbProcedure="false">Inputs!$B$13</definedName>
    <definedName function="false" hidden="false" name="TOM_FERT" vbProcedure="false">Inputs!$B$10</definedName>
    <definedName function="false" hidden="false" name="TOM_HRS" vbProcedure="false">Inputs!$B$7</definedName>
    <definedName function="false" hidden="false" name="TOM_LABOR" vbProcedure="false">'Cost structure'!$B$4</definedName>
    <definedName function="false" hidden="false" name="TOM_LABOR_COST" vbProcedure="false">'Cost structure'!$B$21</definedName>
    <definedName function="false" hidden="false" name="TOM_MC" vbProcedure="false">'Marginal-cost schedules'!$D$7:$D$26</definedName>
    <definedName function="false" hidden="false" name="TOM_PRICE" vbProcedure="false">Inputs!$B$4</definedName>
    <definedName function="false" hidden="false" name="TOM_PROFIT" vbProcedure="false">'Cost structure'!$B$24</definedName>
    <definedName function="false" hidden="false" name="TOM_SA_COST" vbProcedure="false">'Marginal-cost schedules'!$C$7:$C$26</definedName>
    <definedName function="false" hidden="false" name="TOM_SA_LABOR" vbProcedure="false">'Marginal-cost schedules'!$B$7:$B$26</definedName>
    <definedName function="false" hidden="false" name="TOTAL_BEDS" vbProcedure="false">Inputs!$B$20</definedName>
    <definedName function="false" hidden="false" name="TOTAL_LABOR" vbProcedure="false">'Cost structure'!$B$9</definedName>
    <definedName function="false" hidden="false" name="WEEKS" vbProcedure="false">Inputs!$B$19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<sst xmlns="http://schemas.openxmlformats.org/spreadsheetml/2006/main" count="207" uniqueCount="146">
  <si>
    <t xml:space="preserve">Inputs (edit values in column B only; every formula reads these by name)</t>
  </si>
  <si>
    <t xml:space="preserve">Name</t>
  </si>
  <si>
    <t xml:space="preserve">Value</t>
  </si>
  <si>
    <t xml:space="preserve">Unit</t>
  </si>
  <si>
    <t xml:space="preserve">Source (case scenario)</t>
  </si>
  <si>
    <t xml:space="preserve">TOM_PRICE</t>
  </si>
  <si>
    <t xml:space="preserve">$/bed</t>
  </si>
  <si>
    <t xml:space="preserve">Case scenario, "The givens" crop table</t>
  </si>
  <si>
    <t xml:space="preserve">CAR_PRICE</t>
  </si>
  <si>
    <t xml:space="preserve">MES_PRICE</t>
  </si>
  <si>
    <t xml:space="preserve">TOM_HRS</t>
  </si>
  <si>
    <t xml:space="preserve">field hrs/week/bed</t>
  </si>
  <si>
    <t xml:space="preserve">CAR_HRS</t>
  </si>
  <si>
    <t xml:space="preserve">MES_HRS</t>
  </si>
  <si>
    <t xml:space="preserve">TOM_FERT</t>
  </si>
  <si>
    <t xml:space="preserve">CAR_FERT</t>
  </si>
  <si>
    <t xml:space="preserve">MES_FERT</t>
  </si>
  <si>
    <t xml:space="preserve">TOM_DIM</t>
  </si>
  <si>
    <t xml:space="preserve">diminishing-returns rate per bed</t>
  </si>
  <si>
    <t xml:space="preserve">CAR_DIM</t>
  </si>
  <si>
    <t xml:space="preserve">MES_DIM</t>
  </si>
  <si>
    <t xml:space="preserve">TOM_CAP</t>
  </si>
  <si>
    <t xml:space="preserve">beds (max)</t>
  </si>
  <si>
    <t xml:space="preserve">CAR_CAP</t>
  </si>
  <si>
    <t xml:space="preserve">MES_CAP</t>
  </si>
  <si>
    <t xml:space="preserve">WEEKS</t>
  </si>
  <si>
    <t xml:space="preserve">weeks/season</t>
  </si>
  <si>
    <t xml:space="preserve">Case scenario, farm parameters</t>
  </si>
  <si>
    <t xml:space="preserve">TOTAL_BEDS</t>
  </si>
  <si>
    <t xml:space="preserve">beds available</t>
  </si>
  <si>
    <t xml:space="preserve">FIXED_COST</t>
  </si>
  <si>
    <t xml:space="preserve">$/season</t>
  </si>
  <si>
    <t xml:space="preserve">OWN_HRS</t>
  </si>
  <si>
    <t xml:space="preserve">farmer field hrs/season</t>
  </si>
  <si>
    <t xml:space="preserve">OWN_RATE</t>
  </si>
  <si>
    <t xml:space="preserve">$/hr (implied)</t>
  </si>
  <si>
    <t xml:space="preserve">TEMP_RATE</t>
  </si>
  <si>
    <t xml:space="preserve">$/hr</t>
  </si>
  <si>
    <t xml:space="preserve">TEMP_HRS</t>
  </si>
  <si>
    <t xml:space="preserve">hrs per temp worker/season</t>
  </si>
  <si>
    <t xml:space="preserve">MAX_TEMPS</t>
  </si>
  <si>
    <t xml:space="preserve">temp workers (max)</t>
  </si>
  <si>
    <t xml:space="preserve">OTHER_VAR_COST</t>
  </si>
  <si>
    <t xml:space="preserve">None in the case scenario; placeholder for future variable costs</t>
  </si>
  <si>
    <t xml:space="preserve">CHECK_PROFIT</t>
  </si>
  <si>
    <t xml:space="preserve">$</t>
  </si>
  <si>
    <t xml:space="preserve">Course Stage 2 published check figure</t>
  </si>
  <si>
    <t xml:space="preserve">CHECK_TOL</t>
  </si>
  <si>
    <t xml:space="preserve">My chosen tolerance for the profit check</t>
  </si>
  <si>
    <t xml:space="preserve">Cost structure for the chosen mix</t>
  </si>
  <si>
    <t xml:space="preserve">Labor hours per crop</t>
  </si>
  <si>
    <t xml:space="preserve">Tomatoes labor hours</t>
  </si>
  <si>
    <t xml:space="preserve">TOM_LABOR</t>
  </si>
  <si>
    <t xml:space="preserve">Carrots labor hours</t>
  </si>
  <si>
    <t xml:space="preserve">CAR_LABOR</t>
  </si>
  <si>
    <t xml:space="preserve">Mesclun labor hours</t>
  </si>
  <si>
    <t xml:space="preserve">MES_LABOR</t>
  </si>
  <si>
    <t xml:space="preserve">Splitting hours between me and temps</t>
  </si>
  <si>
    <t xml:space="preserve">Total labor hours</t>
  </si>
  <si>
    <t xml:space="preserve">TOTAL_LABOR</t>
  </si>
  <si>
    <t xml:space="preserve">My hours used</t>
  </si>
  <si>
    <t xml:space="preserve">OWN_USED</t>
  </si>
  <si>
    <t xml:space="preserve">Temp hours</t>
  </si>
  <si>
    <t xml:space="preserve">TEMP_LABOR</t>
  </si>
  <si>
    <t xml:space="preserve">Temps needed</t>
  </si>
  <si>
    <t xml:space="preserve">TEMPS_NEEDED</t>
  </si>
  <si>
    <t xml:space="preserve">Costs</t>
  </si>
  <si>
    <t xml:space="preserve">Revenue</t>
  </si>
  <si>
    <t xml:space="preserve">REVENUE</t>
  </si>
  <si>
    <t xml:space="preserve">Fertilizer cost</t>
  </si>
  <si>
    <t xml:space="preserve">FERT_COST</t>
  </si>
  <si>
    <t xml:space="preserve">Labor cost (temps paid for hours worked)</t>
  </si>
  <si>
    <t xml:space="preserve">LABOR_COST</t>
  </si>
  <si>
    <t xml:space="preserve">Per-crop P&amp;L (labor at blended rate)</t>
  </si>
  <si>
    <t xml:space="preserve">Blended labor rate</t>
  </si>
  <si>
    <t xml:space="preserve">BLENDED_RATE</t>
  </si>
  <si>
    <t xml:space="preserve">Tomatoes labor cost</t>
  </si>
  <si>
    <t xml:space="preserve">TOM_LABOR_COST</t>
  </si>
  <si>
    <t xml:space="preserve">Carrots labor cost</t>
  </si>
  <si>
    <t xml:space="preserve">CAR_LABOR_COST</t>
  </si>
  <si>
    <t xml:space="preserve">Mesclun labor cost</t>
  </si>
  <si>
    <t xml:space="preserve">MES_LABOR_COST</t>
  </si>
  <si>
    <t xml:space="preserve">Tomatoes profit</t>
  </si>
  <si>
    <t xml:space="preserve">TOM_PROFIT</t>
  </si>
  <si>
    <t xml:space="preserve">Carrots profit</t>
  </si>
  <si>
    <t xml:space="preserve">CAR_PROFIT</t>
  </si>
  <si>
    <t xml:space="preserve">Mesclun profit</t>
  </si>
  <si>
    <t xml:space="preserve">MES_PROFIT</t>
  </si>
  <si>
    <t xml:space="preserve">Standalone marginal-cost schedules (each crop as if it were the only crop planted)</t>
  </si>
  <si>
    <t xml:space="preserve">Tomatoes</t>
  </si>
  <si>
    <t xml:space="preserve">Carrots</t>
  </si>
  <si>
    <t xml:space="preserve">Mesclun</t>
  </si>
  <si>
    <t xml:space="preserve">Crossing (last bed before MC first &gt; price)</t>
  </si>
  <si>
    <t xml:space="preserve">TOM_CROSS</t>
  </si>
  <si>
    <t xml:space="preserve">CAR_CROSS</t>
  </si>
  <si>
    <t xml:space="preserve">MES_CROSS</t>
  </si>
  <si>
    <t xml:space="preserve">Bed (q)</t>
  </si>
  <si>
    <t xml:space="preserve">SA labor hrs</t>
  </si>
  <si>
    <t xml:space="preserve">SA cost</t>
  </si>
  <si>
    <t xml:space="preserve">MC</t>
  </si>
  <si>
    <t xml:space="preserve">Price</t>
  </si>
  <si>
    <t xml:space="preserve">Pays?</t>
  </si>
  <si>
    <t xml:space="preserve">Optimization: Solver changes the three bed counts to maximize PROFIT</t>
  </si>
  <si>
    <t xml:space="preserve">Decision variable</t>
  </si>
  <si>
    <t xml:space="preserve">Beds</t>
  </si>
  <si>
    <t xml:space="preserve">Tomatoes beds</t>
  </si>
  <si>
    <t xml:space="preserve">TOM_BEDS</t>
  </si>
  <si>
    <t xml:space="preserve">Carrots beds</t>
  </si>
  <si>
    <t xml:space="preserve">CAR_BEDS</t>
  </si>
  <si>
    <t xml:space="preserve">Mesclun beds</t>
  </si>
  <si>
    <t xml:space="preserve">MES_BEDS</t>
  </si>
  <si>
    <t xml:space="preserve">Season profit (objective)</t>
  </si>
  <si>
    <t xml:space="preserve">PROFIT</t>
  </si>
  <si>
    <t xml:space="preserve">Solver setup (Data &gt; Solver):</t>
  </si>
  <si>
    <t xml:space="preserve">Set objective: PROFIT (this sheet, B8)   To: Max</t>
  </si>
  <si>
    <t xml:space="preserve">By changing: TOM_BEDS, CAR_BEDS, MES_BEDS (B4:B6)</t>
  </si>
  <si>
    <t xml:space="preserve">Method: GRG Nonlinear</t>
  </si>
  <si>
    <t xml:space="preserve">Constraints: B4:B6 = integer;  B4 &gt;= 0, B4 &lt;= TOM_CAP;  B5 &gt;= 0, B5 &lt;= CAR_CAP;  B6 &gt;= 0, B6 &lt;= MES_CAP;</t>
  </si>
  <si>
    <t xml:space="preserve">             TOM_BEDS + CAR_BEDS + MES_BEDS &lt;= TOTAL_BEDS;  TEMPS_NEEDED &lt;= MAX_TEMPS</t>
  </si>
  <si>
    <t xml:space="preserve">Audit: run from 0/0/0 and from 20/0/0 and compare.</t>
  </si>
  <si>
    <t xml:space="preserve">Checks (green = pass, red = fail)</t>
  </si>
  <si>
    <t xml:space="preserve">#</t>
  </si>
  <si>
    <t xml:space="preserve">Check</t>
  </si>
  <si>
    <t xml:space="preserve">Result</t>
  </si>
  <si>
    <t xml:space="preserve">0 ≤ TOM_BEDS ≤ TOM_CAP</t>
  </si>
  <si>
    <t xml:space="preserve">0 ≤ CAR_BEDS ≤ CAR_CAP</t>
  </si>
  <si>
    <t xml:space="preserve">0 ≤ MES_BEDS ≤ MES_CAP</t>
  </si>
  <si>
    <t xml:space="preserve">TOM_BEDS + CAR_BEDS + MES_BEDS ≤ TOTAL_BEDS</t>
  </si>
  <si>
    <t xml:space="preserve">TEMPS_NEEDED ≤ MAX_TEMPS</t>
  </si>
  <si>
    <t xml:space="preserve">Each bed count is a whole number</t>
  </si>
  <si>
    <t xml:space="preserve">PROFIT within ±CHECK_TOL of CHECK_PROFIT</t>
  </si>
  <si>
    <t xml:space="preserve">Summary</t>
  </si>
  <si>
    <t xml:space="preserve">Best mix</t>
  </si>
  <si>
    <t xml:space="preserve">Season</t>
  </si>
  <si>
    <t xml:space="preserve">Labor cost</t>
  </si>
  <si>
    <t xml:space="preserve">Season profit</t>
  </si>
  <si>
    <t xml:space="preserve">Labor</t>
  </si>
  <si>
    <t xml:space="preserve">My hours</t>
  </si>
  <si>
    <t xml:space="preserve">Profit by crop (fixed costs not allocated)</t>
  </si>
  <si>
    <t xml:space="preserve">Less other variable costs</t>
  </si>
  <si>
    <t xml:space="preserve">Less fixed costs</t>
  </si>
  <si>
    <t xml:space="preserve">Season profit (sum of the lines above)</t>
  </si>
  <si>
    <t xml:space="preserve">Crossing bed (standalone P ≈ MC)</t>
  </si>
  <si>
    <t xml:space="preserve">Tomatoes crossing</t>
  </si>
  <si>
    <t xml:space="preserve">Carrots crossing</t>
  </si>
  <si>
    <t xml:space="preserve">Mesclun crossing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</si>
</sst>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0"/>
    <numFmt numFmtId="167" formatCode="0.00%"/>
    <numFmt numFmtId="168" formatCode="0"/>
    <numFmt numFmtId="169" formatCode="#,##0"/>
    <numFmt numFmtId="170" formatCode="\$#,##0.0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2243E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08504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C0D1"/>
        <bgColor rgb="FFFFC7CE"/>
      </patternFill>
    </fill>
    <fill>
      <patternFill patternType="solid">
        <fgColor rgb="FFFFF2CC"/>
        <bgColor rgb="FFFFFFFF"/>
      </patternFill>
    </fill>
    <fill>
      <patternFill patternType="solid">
        <fgColor rgb="FFFAC775"/>
        <bgColor rgb="FFFFC7CE"/>
      </patternFill>
    </fill>
    <fill>
      <patternFill patternType="solid">
        <fgColor rgb="FF9FE1CB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2243E"/>
      <rgbColor rgb="FFFFF2CC"/>
      <rgbColor rgb="FFCCFFFF"/>
      <rgbColor rgb="FF660066"/>
      <rgbColor rgb="FFFF8080"/>
      <rgbColor rgb="FF0066CC"/>
      <rgbColor rgb="FFF4C0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FE1CB"/>
      <rgbColor rgb="FFFFC7CE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339966"/>
      <rgbColor rgb="FF003300"/>
      <rgbColor rgb="FF6338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8800</v>
      </c>
      <c r="C4" s="3" t="s">
        <v>6</v>
      </c>
      <c r="D4" s="3" t="s">
        <v>7</v>
      </c>
    </row>
    <row r="5" customFormat="false" ht="15" hidden="false" customHeight="false" outlineLevel="0" collapsed="false">
      <c r="A5" s="3" t="s">
        <v>8</v>
      </c>
      <c r="B5" s="4" t="n">
        <v>2094</v>
      </c>
      <c r="C5" s="3" t="s">
        <v>6</v>
      </c>
      <c r="D5" s="3" t="s">
        <v>7</v>
      </c>
    </row>
    <row r="6" customFormat="false" ht="15" hidden="false" customHeight="false" outlineLevel="0" collapsed="false">
      <c r="A6" s="3" t="s">
        <v>9</v>
      </c>
      <c r="B6" s="4" t="n">
        <v>2700</v>
      </c>
      <c r="C6" s="3" t="s">
        <v>6</v>
      </c>
      <c r="D6" s="3" t="s">
        <v>7</v>
      </c>
    </row>
    <row r="7" customFormat="false" ht="15" hidden="false" customHeight="false" outlineLevel="0" collapsed="false">
      <c r="A7" s="3" t="s">
        <v>10</v>
      </c>
      <c r="B7" s="5" t="n">
        <v>2.5</v>
      </c>
      <c r="C7" s="3" t="s">
        <v>11</v>
      </c>
      <c r="D7" s="3" t="s">
        <v>7</v>
      </c>
    </row>
    <row r="8" customFormat="false" ht="15" hidden="false" customHeight="false" outlineLevel="0" collapsed="false">
      <c r="A8" s="3" t="s">
        <v>12</v>
      </c>
      <c r="B8" s="5" t="n">
        <v>0.833</v>
      </c>
      <c r="C8" s="3" t="s">
        <v>11</v>
      </c>
      <c r="D8" s="3" t="s">
        <v>7</v>
      </c>
    </row>
    <row r="9" customFormat="false" ht="15" hidden="false" customHeight="false" outlineLevel="0" collapsed="false">
      <c r="A9" s="3" t="s">
        <v>13</v>
      </c>
      <c r="B9" s="5" t="n">
        <v>1.25</v>
      </c>
      <c r="C9" s="3" t="s">
        <v>11</v>
      </c>
      <c r="D9" s="3" t="s">
        <v>7</v>
      </c>
    </row>
    <row r="10" customFormat="false" ht="15" hidden="false" customHeight="false" outlineLevel="0" collapsed="false">
      <c r="A10" s="3" t="s">
        <v>14</v>
      </c>
      <c r="B10" s="4" t="n">
        <v>880</v>
      </c>
      <c r="C10" s="3" t="s">
        <v>6</v>
      </c>
      <c r="D10" s="3" t="s">
        <v>7</v>
      </c>
    </row>
    <row r="11" customFormat="false" ht="15" hidden="false" customHeight="false" outlineLevel="0" collapsed="false">
      <c r="A11" s="3" t="s">
        <v>15</v>
      </c>
      <c r="B11" s="4" t="n">
        <v>440</v>
      </c>
      <c r="C11" s="3" t="s">
        <v>6</v>
      </c>
      <c r="D11" s="3" t="s">
        <v>7</v>
      </c>
    </row>
    <row r="12" customFormat="false" ht="15" hidden="false" customHeight="false" outlineLevel="0" collapsed="false">
      <c r="A12" s="3" t="s">
        <v>16</v>
      </c>
      <c r="B12" s="4" t="n">
        <v>880</v>
      </c>
      <c r="C12" s="3" t="s">
        <v>6</v>
      </c>
      <c r="D12" s="3" t="s">
        <v>7</v>
      </c>
    </row>
    <row r="13" customFormat="false" ht="15" hidden="false" customHeight="false" outlineLevel="0" collapsed="false">
      <c r="A13" s="3" t="s">
        <v>17</v>
      </c>
      <c r="B13" s="6" t="n">
        <v>0.1</v>
      </c>
      <c r="C13" s="3" t="s">
        <v>18</v>
      </c>
      <c r="D13" s="3" t="s">
        <v>7</v>
      </c>
    </row>
    <row r="14" customFormat="false" ht="15" hidden="false" customHeight="false" outlineLevel="0" collapsed="false">
      <c r="A14" s="3" t="s">
        <v>19</v>
      </c>
      <c r="B14" s="6" t="n">
        <v>0.025</v>
      </c>
      <c r="C14" s="3" t="s">
        <v>18</v>
      </c>
      <c r="D14" s="3" t="s">
        <v>7</v>
      </c>
    </row>
    <row r="15" customFormat="false" ht="15" hidden="false" customHeight="false" outlineLevel="0" collapsed="false">
      <c r="A15" s="3" t="s">
        <v>20</v>
      </c>
      <c r="B15" s="6" t="n">
        <v>0.0125</v>
      </c>
      <c r="C15" s="3" t="s">
        <v>18</v>
      </c>
      <c r="D15" s="3" t="s">
        <v>7</v>
      </c>
    </row>
    <row r="16" customFormat="false" ht="15" hidden="false" customHeight="false" outlineLevel="0" collapsed="false">
      <c r="A16" s="3" t="s">
        <v>21</v>
      </c>
      <c r="B16" s="7" t="n">
        <v>20</v>
      </c>
      <c r="C16" s="3" t="s">
        <v>22</v>
      </c>
      <c r="D16" s="3" t="s">
        <v>7</v>
      </c>
    </row>
    <row r="17" customFormat="false" ht="15" hidden="false" customHeight="false" outlineLevel="0" collapsed="false">
      <c r="A17" s="3" t="s">
        <v>23</v>
      </c>
      <c r="B17" s="7" t="n">
        <v>20</v>
      </c>
      <c r="C17" s="3" t="s">
        <v>22</v>
      </c>
      <c r="D17" s="3" t="s">
        <v>7</v>
      </c>
    </row>
    <row r="18" customFormat="false" ht="15" hidden="false" customHeight="false" outlineLevel="0" collapsed="false">
      <c r="A18" s="3" t="s">
        <v>24</v>
      </c>
      <c r="B18" s="7" t="n">
        <v>30</v>
      </c>
      <c r="C18" s="3" t="s">
        <v>22</v>
      </c>
      <c r="D18" s="3" t="s">
        <v>7</v>
      </c>
    </row>
    <row r="19" customFormat="false" ht="15" hidden="false" customHeight="false" outlineLevel="0" collapsed="false">
      <c r="A19" s="3" t="s">
        <v>25</v>
      </c>
      <c r="B19" s="7" t="n">
        <v>36</v>
      </c>
      <c r="C19" s="3" t="s">
        <v>26</v>
      </c>
      <c r="D19" s="3" t="s">
        <v>27</v>
      </c>
    </row>
    <row r="20" customFormat="false" ht="15" hidden="false" customHeight="false" outlineLevel="0" collapsed="false">
      <c r="A20" s="3" t="s">
        <v>28</v>
      </c>
      <c r="B20" s="7" t="n">
        <v>64</v>
      </c>
      <c r="C20" s="3" t="s">
        <v>29</v>
      </c>
      <c r="D20" s="3" t="s">
        <v>27</v>
      </c>
    </row>
    <row r="21" customFormat="false" ht="15" hidden="false" customHeight="false" outlineLevel="0" collapsed="false">
      <c r="A21" s="3" t="s">
        <v>30</v>
      </c>
      <c r="B21" s="4" t="n">
        <v>20000</v>
      </c>
      <c r="C21" s="3" t="s">
        <v>31</v>
      </c>
      <c r="D21" s="3" t="s">
        <v>27</v>
      </c>
    </row>
    <row r="22" customFormat="false" ht="15" hidden="false" customHeight="false" outlineLevel="0" collapsed="false">
      <c r="A22" s="3" t="s">
        <v>32</v>
      </c>
      <c r="B22" s="8" t="n">
        <v>720</v>
      </c>
      <c r="C22" s="3" t="s">
        <v>33</v>
      </c>
      <c r="D22" s="3" t="s">
        <v>27</v>
      </c>
    </row>
    <row r="23" customFormat="false" ht="15" hidden="false" customHeight="false" outlineLevel="0" collapsed="false">
      <c r="A23" s="3" t="s">
        <v>34</v>
      </c>
      <c r="B23" s="9" t="n">
        <v>34.72</v>
      </c>
      <c r="C23" s="3" t="s">
        <v>35</v>
      </c>
      <c r="D23" s="3" t="s">
        <v>27</v>
      </c>
    </row>
    <row r="24" customFormat="false" ht="15" hidden="false" customHeight="false" outlineLevel="0" collapsed="false">
      <c r="A24" s="3" t="s">
        <v>36</v>
      </c>
      <c r="B24" s="9" t="n">
        <v>17.36</v>
      </c>
      <c r="C24" s="3" t="s">
        <v>37</v>
      </c>
      <c r="D24" s="3" t="s">
        <v>27</v>
      </c>
    </row>
    <row r="25" customFormat="false" ht="15" hidden="false" customHeight="false" outlineLevel="0" collapsed="false">
      <c r="A25" s="3" t="s">
        <v>38</v>
      </c>
      <c r="B25" s="8" t="n">
        <v>1440</v>
      </c>
      <c r="C25" s="3" t="s">
        <v>39</v>
      </c>
      <c r="D25" s="3" t="s">
        <v>27</v>
      </c>
    </row>
    <row r="26" customFormat="false" ht="15" hidden="false" customHeight="false" outlineLevel="0" collapsed="false">
      <c r="A26" s="3" t="s">
        <v>40</v>
      </c>
      <c r="B26" s="7" t="n">
        <v>4</v>
      </c>
      <c r="C26" s="3" t="s">
        <v>41</v>
      </c>
      <c r="D26" s="3" t="s">
        <v>27</v>
      </c>
    </row>
    <row r="27" customFormat="false" ht="15" hidden="false" customHeight="false" outlineLevel="0" collapsed="false">
      <c r="A27" s="3" t="s">
        <v>42</v>
      </c>
      <c r="B27" s="4" t="n">
        <v>0</v>
      </c>
      <c r="C27" s="3" t="s">
        <v>31</v>
      </c>
      <c r="D27" s="3" t="s">
        <v>43</v>
      </c>
    </row>
    <row r="28" customFormat="false" ht="15" hidden="false" customHeight="false" outlineLevel="0" collapsed="false">
      <c r="A28" s="3" t="s">
        <v>44</v>
      </c>
      <c r="B28" s="4" t="n">
        <v>42762</v>
      </c>
      <c r="C28" s="3" t="s">
        <v>45</v>
      </c>
      <c r="D28" s="3" t="s">
        <v>46</v>
      </c>
    </row>
    <row r="29" customFormat="false" ht="15" hidden="false" customHeight="false" outlineLevel="0" collapsed="false">
      <c r="A29" s="3" t="s">
        <v>47</v>
      </c>
      <c r="B29" s="4" t="n">
        <v>25</v>
      </c>
      <c r="C29" s="3" t="s">
        <v>45</v>
      </c>
      <c r="D29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0" t="s">
        <v>50</v>
      </c>
    </row>
    <row r="4" customFormat="false" ht="15" hidden="false" customHeight="false" outlineLevel="0" collapsed="false">
      <c r="A4" s="11" t="s">
        <v>51</v>
      </c>
      <c r="B4" s="12" t="n">
        <f aca="false">TOM_BEDS*TOM_HRS*WEEKS*(1+TOM_DIM)^TOM_BEDS</f>
        <v>2334.36821409</v>
      </c>
      <c r="C4" s="13" t="s">
        <v>52</v>
      </c>
    </row>
    <row r="5" customFormat="false" ht="15" hidden="false" customHeight="false" outlineLevel="0" collapsed="false">
      <c r="A5" s="14" t="s">
        <v>53</v>
      </c>
      <c r="B5" s="12" t="n">
        <f aca="false">CAR_BEDS*CAR_HRS*WEEKS*(1+CAR_DIM)^CAR_BEDS</f>
        <v>982.776596228567</v>
      </c>
      <c r="C5" s="13" t="s">
        <v>54</v>
      </c>
    </row>
    <row r="6" customFormat="false" ht="15" hidden="false" customHeight="false" outlineLevel="0" collapsed="false">
      <c r="A6" s="15" t="s">
        <v>55</v>
      </c>
      <c r="B6" s="12" t="n">
        <f aca="false">MES_BEDS*MES_HRS*WEEKS*(1+MES_DIM)^MES_BEDS</f>
        <v>1959.67803600965</v>
      </c>
      <c r="C6" s="13" t="s">
        <v>56</v>
      </c>
    </row>
    <row r="8" customFormat="false" ht="15" hidden="false" customHeight="false" outlineLevel="0" collapsed="false">
      <c r="A8" s="10" t="s">
        <v>57</v>
      </c>
    </row>
    <row r="9" customFormat="false" ht="15" hidden="false" customHeight="false" outlineLevel="0" collapsed="false">
      <c r="A9" s="13" t="s">
        <v>58</v>
      </c>
      <c r="B9" s="12" t="n">
        <f aca="false">TOM_LABOR+CAR_LABOR+MES_LABOR</f>
        <v>5276.82284632822</v>
      </c>
      <c r="C9" s="13" t="s">
        <v>59</v>
      </c>
    </row>
    <row r="10" customFormat="false" ht="15" hidden="false" customHeight="false" outlineLevel="0" collapsed="false">
      <c r="A10" s="13" t="s">
        <v>60</v>
      </c>
      <c r="B10" s="12" t="n">
        <f aca="false">MIN(TOTAL_LABOR,OWN_HRS)</f>
        <v>720</v>
      </c>
      <c r="C10" s="13" t="s">
        <v>61</v>
      </c>
    </row>
    <row r="11" customFormat="false" ht="15" hidden="false" customHeight="false" outlineLevel="0" collapsed="false">
      <c r="A11" s="13" t="s">
        <v>62</v>
      </c>
      <c r="B11" s="12" t="n">
        <f aca="false">MAX(0,TOTAL_LABOR-OWN_HRS)</f>
        <v>4556.82284632822</v>
      </c>
      <c r="C11" s="13" t="s">
        <v>63</v>
      </c>
    </row>
    <row r="12" customFormat="false" ht="15" hidden="false" customHeight="false" outlineLevel="0" collapsed="false">
      <c r="A12" s="13" t="s">
        <v>64</v>
      </c>
      <c r="B12" s="16" t="n">
        <f aca="false">ROUNDUP(TEMP_LABOR/TEMP_HRS,0)</f>
        <v>4</v>
      </c>
      <c r="C12" s="13" t="s">
        <v>65</v>
      </c>
    </row>
    <row r="14" customFormat="false" ht="15" hidden="false" customHeight="false" outlineLevel="0" collapsed="false">
      <c r="A14" s="10" t="s">
        <v>66</v>
      </c>
    </row>
    <row r="15" customFormat="false" ht="15" hidden="false" customHeight="false" outlineLevel="0" collapsed="false">
      <c r="A15" s="13" t="s">
        <v>67</v>
      </c>
      <c r="B15" s="17" t="n">
        <f aca="false">TOM_BEDS*TOM_PRICE+CAR_BEDS*CAR_PRICE+MES_BEDS*MES_PRICE</f>
        <v>210880</v>
      </c>
      <c r="C15" s="13" t="s">
        <v>68</v>
      </c>
    </row>
    <row r="16" customFormat="false" ht="15" hidden="false" customHeight="false" outlineLevel="0" collapsed="false">
      <c r="A16" s="13" t="s">
        <v>69</v>
      </c>
      <c r="B16" s="17" t="n">
        <f aca="false">TOM_BEDS*TOM_FERT+CAR_BEDS*CAR_FERT+MES_BEDS*MES_FERT</f>
        <v>44000</v>
      </c>
      <c r="C16" s="13" t="s">
        <v>70</v>
      </c>
    </row>
    <row r="17" customFormat="false" ht="15" hidden="false" customHeight="false" outlineLevel="0" collapsed="false">
      <c r="A17" s="13" t="s">
        <v>71</v>
      </c>
      <c r="B17" s="17" t="n">
        <f aca="false">OWN_USED*OWN_RATE+TEMP_LABOR*TEMP_RATE</f>
        <v>104104.844612258</v>
      </c>
      <c r="C17" s="13" t="s">
        <v>72</v>
      </c>
    </row>
    <row r="19" customFormat="false" ht="15" hidden="false" customHeight="false" outlineLevel="0" collapsed="false">
      <c r="A19" s="10" t="s">
        <v>73</v>
      </c>
    </row>
    <row r="20" customFormat="false" ht="15" hidden="false" customHeight="false" outlineLevel="0" collapsed="false">
      <c r="A20" s="13" t="s">
        <v>74</v>
      </c>
      <c r="B20" s="18" t="n">
        <f aca="false">IF(TOTAL_LABOR=0,0,LABOR_COST/TOTAL_LABOR)</f>
        <v>19.7286980525976</v>
      </c>
      <c r="C20" s="13" t="s">
        <v>75</v>
      </c>
    </row>
    <row r="21" customFormat="false" ht="15" hidden="false" customHeight="false" outlineLevel="0" collapsed="false">
      <c r="A21" s="11" t="s">
        <v>76</v>
      </c>
      <c r="B21" s="17" t="n">
        <f aca="false">TOM_LABOR*BLENDED_RATE</f>
        <v>46054.0456393631</v>
      </c>
      <c r="C21" s="13" t="s">
        <v>77</v>
      </c>
    </row>
    <row r="22" customFormat="false" ht="15" hidden="false" customHeight="false" outlineLevel="0" collapsed="false">
      <c r="A22" s="14" t="s">
        <v>78</v>
      </c>
      <c r="B22" s="17" t="n">
        <f aca="false">CAR_LABOR*BLENDED_RATE</f>
        <v>19388.902720153</v>
      </c>
      <c r="C22" s="13" t="s">
        <v>79</v>
      </c>
    </row>
    <row r="23" customFormat="false" ht="15" hidden="false" customHeight="false" outlineLevel="0" collapsed="false">
      <c r="A23" s="15" t="s">
        <v>80</v>
      </c>
      <c r="B23" s="17" t="n">
        <f aca="false">MES_LABOR*BLENDED_RATE</f>
        <v>38661.8962527417</v>
      </c>
      <c r="C23" s="13" t="s">
        <v>81</v>
      </c>
    </row>
    <row r="24" customFormat="false" ht="15" hidden="false" customHeight="false" outlineLevel="0" collapsed="false">
      <c r="A24" s="11" t="s">
        <v>82</v>
      </c>
      <c r="B24" s="17" t="n">
        <f aca="false">TOM_BEDS*TOM_PRICE-TOM_BEDS*TOM_FERT-TOM_LABOR_COST</f>
        <v>33145.9543606369</v>
      </c>
      <c r="C24" s="13" t="s">
        <v>83</v>
      </c>
    </row>
    <row r="25" customFormat="false" ht="15" hidden="false" customHeight="false" outlineLevel="0" collapsed="false">
      <c r="A25" s="14" t="s">
        <v>84</v>
      </c>
      <c r="B25" s="17" t="n">
        <f aca="false">CAR_BEDS*CAR_PRICE-CAR_BEDS*CAR_FERT-CAR_LABOR_COST</f>
        <v>13691.097279847</v>
      </c>
      <c r="C25" s="13" t="s">
        <v>85</v>
      </c>
    </row>
    <row r="26" customFormat="false" ht="15" hidden="false" customHeight="false" outlineLevel="0" collapsed="false">
      <c r="A26" s="15" t="s">
        <v>86</v>
      </c>
      <c r="B26" s="17" t="n">
        <f aca="false">MES_BEDS*MES_PRICE-MES_BEDS*MES_FERT-MES_LABOR_COST</f>
        <v>15938.1037472583</v>
      </c>
      <c r="C26" s="1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3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0" min="20" style="0" width="8"/>
    <col collapsed="false" customWidth="true" hidden="false" outlineLevel="0" max="21" min="21" style="0" width="3"/>
  </cols>
  <sheetData>
    <row r="1" customFormat="false" ht="15" hidden="false" customHeight="false" outlineLevel="0" collapsed="false">
      <c r="A1" s="1" t="s">
        <v>88</v>
      </c>
    </row>
    <row r="3" customFormat="false" ht="15" hidden="false" customHeight="false" outlineLevel="0" collapsed="false">
      <c r="A3" s="11" t="s">
        <v>89</v>
      </c>
      <c r="B3" s="19"/>
      <c r="C3" s="19"/>
      <c r="D3" s="19"/>
      <c r="E3" s="19"/>
      <c r="F3" s="19"/>
      <c r="H3" s="14" t="s">
        <v>90</v>
      </c>
      <c r="I3" s="20"/>
      <c r="J3" s="20"/>
      <c r="K3" s="20"/>
      <c r="L3" s="20"/>
      <c r="M3" s="20"/>
      <c r="O3" s="15" t="s">
        <v>91</v>
      </c>
      <c r="P3" s="21"/>
      <c r="Q3" s="21"/>
      <c r="R3" s="21"/>
      <c r="S3" s="21"/>
      <c r="T3" s="21"/>
    </row>
    <row r="4" customFormat="false" ht="15" hidden="false" customHeight="false" outlineLevel="0" collapsed="false">
      <c r="A4" s="13" t="s">
        <v>92</v>
      </c>
      <c r="E4" s="16" t="n">
        <f aca="false">IFERROR(MATCH(1,INDEX(--(TOM_MC&gt;TOM_PRICE),0),0)-1,TOM_CAP)</f>
        <v>10</v>
      </c>
      <c r="F4" s="13" t="s">
        <v>93</v>
      </c>
      <c r="H4" s="13" t="s">
        <v>92</v>
      </c>
      <c r="L4" s="16" t="n">
        <f aca="false">IFERROR(MATCH(1,INDEX(--(CAR_MC&gt;CAR_PRICE),0),0)-1,CAR_CAP)</f>
        <v>10</v>
      </c>
      <c r="M4" s="13" t="s">
        <v>94</v>
      </c>
      <c r="O4" s="13" t="s">
        <v>92</v>
      </c>
      <c r="S4" s="16" t="n">
        <f aca="false">IFERROR(MATCH(1,INDEX(--(MES_MC&gt;MES_PRICE),0),0)-1,MES_CAP)</f>
        <v>6</v>
      </c>
      <c r="T4" s="13" t="s">
        <v>95</v>
      </c>
    </row>
    <row r="6" customFormat="false" ht="15" hidden="false" customHeight="false" outlineLevel="0" collapsed="false">
      <c r="A6" s="22" t="s">
        <v>96</v>
      </c>
      <c r="B6" s="22" t="s">
        <v>97</v>
      </c>
      <c r="C6" s="22" t="s">
        <v>98</v>
      </c>
      <c r="D6" s="22" t="s">
        <v>99</v>
      </c>
      <c r="E6" s="22" t="s">
        <v>100</v>
      </c>
      <c r="F6" s="22" t="s">
        <v>101</v>
      </c>
      <c r="H6" s="23" t="s">
        <v>96</v>
      </c>
      <c r="I6" s="23" t="s">
        <v>97</v>
      </c>
      <c r="J6" s="23" t="s">
        <v>98</v>
      </c>
      <c r="K6" s="23" t="s">
        <v>99</v>
      </c>
      <c r="L6" s="23" t="s">
        <v>100</v>
      </c>
      <c r="M6" s="23" t="s">
        <v>101</v>
      </c>
      <c r="O6" s="24" t="s">
        <v>96</v>
      </c>
      <c r="P6" s="24" t="s">
        <v>97</v>
      </c>
      <c r="Q6" s="24" t="s">
        <v>98</v>
      </c>
      <c r="R6" s="24" t="s">
        <v>99</v>
      </c>
      <c r="S6" s="24" t="s">
        <v>100</v>
      </c>
      <c r="T6" s="24" t="s">
        <v>101</v>
      </c>
    </row>
    <row r="7" customFormat="false" ht="15" hidden="false" customHeight="false" outlineLevel="0" collapsed="false">
      <c r="A7" s="7" t="n">
        <v>1</v>
      </c>
      <c r="B7" s="12" t="n">
        <f aca="false">A7*TOM_HRS*WEEKS*(1+TOM_DIM)^A7</f>
        <v>99</v>
      </c>
      <c r="C7" s="17" t="n">
        <f aca="false">MIN(B7,OWN_HRS)*OWN_RATE+MAX(0,B7-OWN_HRS)*TEMP_RATE+A7*TOM_FERT</f>
        <v>4317.28</v>
      </c>
      <c r="D7" s="17" t="n">
        <f aca="false">C7-0</f>
        <v>4317.28</v>
      </c>
      <c r="E7" s="17" t="n">
        <f aca="false">TOM_PRICE</f>
        <v>8800</v>
      </c>
      <c r="F7" s="25" t="str">
        <f aca="false">IF(D7&lt;=E7,"yes","no")</f>
        <v>yes</v>
      </c>
      <c r="H7" s="7" t="n">
        <v>1</v>
      </c>
      <c r="I7" s="12" t="n">
        <f aca="false">H7*CAR_HRS*WEEKS*(1+CAR_DIM)^H7</f>
        <v>30.7377</v>
      </c>
      <c r="J7" s="17" t="n">
        <f aca="false">MIN(I7,OWN_HRS)*OWN_RATE+MAX(0,I7-OWN_HRS)*TEMP_RATE+H7*CAR_FERT</f>
        <v>1507.212944</v>
      </c>
      <c r="K7" s="17" t="n">
        <f aca="false">J7-0</f>
        <v>1507.212944</v>
      </c>
      <c r="L7" s="17" t="n">
        <f aca="false">CAR_PRICE</f>
        <v>2094</v>
      </c>
      <c r="M7" s="25" t="str">
        <f aca="false">IF(K7&lt;=L7,"yes","no")</f>
        <v>yes</v>
      </c>
      <c r="O7" s="7" t="n">
        <v>1</v>
      </c>
      <c r="P7" s="12" t="n">
        <f aca="false">O7*MES_HRS*WEEKS*(1+MES_DIM)^O7</f>
        <v>45.5625</v>
      </c>
      <c r="Q7" s="17" t="n">
        <f aca="false">MIN(P7,OWN_HRS)*OWN_RATE+MAX(0,P7-OWN_HRS)*TEMP_RATE+O7*MES_FERT</f>
        <v>2461.93</v>
      </c>
      <c r="R7" s="17" t="n">
        <f aca="false">Q7-0</f>
        <v>2461.93</v>
      </c>
      <c r="S7" s="17" t="n">
        <f aca="false">MES_PRICE</f>
        <v>2700</v>
      </c>
      <c r="T7" s="25" t="str">
        <f aca="false">IF(R7&lt;=S7,"yes","no")</f>
        <v>yes</v>
      </c>
    </row>
    <row r="8" customFormat="false" ht="15" hidden="false" customHeight="false" outlineLevel="0" collapsed="false">
      <c r="A8" s="7" t="n">
        <v>2</v>
      </c>
      <c r="B8" s="12" t="n">
        <f aca="false">A8*TOM_HRS*WEEKS*(1+TOM_DIM)^A8</f>
        <v>217.8</v>
      </c>
      <c r="C8" s="17" t="n">
        <f aca="false">MIN(B8,OWN_HRS)*OWN_RATE+MAX(0,B8-OWN_HRS)*TEMP_RATE+A8*TOM_FERT</f>
        <v>9322.016</v>
      </c>
      <c r="D8" s="17" t="n">
        <f aca="false">C8-C7</f>
        <v>5004.736</v>
      </c>
      <c r="E8" s="17" t="n">
        <f aca="false">TOM_PRICE</f>
        <v>8800</v>
      </c>
      <c r="F8" s="25" t="str">
        <f aca="false">IF(D8&lt;=E8,"yes","no")</f>
        <v>yes</v>
      </c>
      <c r="H8" s="7" t="n">
        <v>2</v>
      </c>
      <c r="I8" s="12" t="n">
        <f aca="false">H8*CAR_HRS*WEEKS*(1+CAR_DIM)^H8</f>
        <v>63.012285</v>
      </c>
      <c r="J8" s="17" t="n">
        <f aca="false">MIN(I8,OWN_HRS)*OWN_RATE+MAX(0,I8-OWN_HRS)*TEMP_RATE+H8*CAR_FERT</f>
        <v>3067.7865352</v>
      </c>
      <c r="K8" s="17" t="n">
        <f aca="false">J8-J7</f>
        <v>1560.5735912</v>
      </c>
      <c r="L8" s="17" t="n">
        <f aca="false">CAR_PRICE</f>
        <v>2094</v>
      </c>
      <c r="M8" s="25" t="str">
        <f aca="false">IF(K8&lt;=L8,"yes","no")</f>
        <v>yes</v>
      </c>
      <c r="O8" s="7" t="n">
        <v>2</v>
      </c>
      <c r="P8" s="12" t="n">
        <f aca="false">O8*MES_HRS*WEEKS*(1+MES_DIM)^O8</f>
        <v>92.2640625</v>
      </c>
      <c r="Q8" s="17" t="n">
        <f aca="false">MIN(P8,OWN_HRS)*OWN_RATE+MAX(0,P8-OWN_HRS)*TEMP_RATE+O8*MES_FERT</f>
        <v>4963.40825</v>
      </c>
      <c r="R8" s="17" t="n">
        <f aca="false">Q8-Q7</f>
        <v>2501.47825</v>
      </c>
      <c r="S8" s="17" t="n">
        <f aca="false">MES_PRICE</f>
        <v>2700</v>
      </c>
      <c r="T8" s="25" t="str">
        <f aca="false">IF(R8&lt;=S8,"yes","no")</f>
        <v>yes</v>
      </c>
    </row>
    <row r="9" customFormat="false" ht="15" hidden="false" customHeight="false" outlineLevel="0" collapsed="false">
      <c r="A9" s="7" t="n">
        <v>3</v>
      </c>
      <c r="B9" s="12" t="n">
        <f aca="false">A9*TOM_HRS*WEEKS*(1+TOM_DIM)^A9</f>
        <v>359.37</v>
      </c>
      <c r="C9" s="17" t="n">
        <f aca="false">MIN(B9,OWN_HRS)*OWN_RATE+MAX(0,B9-OWN_HRS)*TEMP_RATE+A9*TOM_FERT</f>
        <v>15117.3264</v>
      </c>
      <c r="D9" s="17" t="n">
        <f aca="false">C9-C8</f>
        <v>5795.3104</v>
      </c>
      <c r="E9" s="17" t="n">
        <f aca="false">TOM_PRICE</f>
        <v>8800</v>
      </c>
      <c r="F9" s="25" t="str">
        <f aca="false">IF(D9&lt;=E9,"yes","no")</f>
        <v>yes</v>
      </c>
      <c r="H9" s="7" t="n">
        <v>3</v>
      </c>
      <c r="I9" s="12" t="n">
        <f aca="false">H9*CAR_HRS*WEEKS*(1+CAR_DIM)^H9</f>
        <v>96.8813881875</v>
      </c>
      <c r="J9" s="17" t="n">
        <f aca="false">MIN(I9,OWN_HRS)*OWN_RATE+MAX(0,I9-OWN_HRS)*TEMP_RATE+H9*CAR_FERT</f>
        <v>4683.72179787</v>
      </c>
      <c r="K9" s="17" t="n">
        <f aca="false">J9-J8</f>
        <v>1615.93526267</v>
      </c>
      <c r="L9" s="17" t="n">
        <f aca="false">CAR_PRICE</f>
        <v>2094</v>
      </c>
      <c r="M9" s="25" t="str">
        <f aca="false">IF(K9&lt;=L9,"yes","no")</f>
        <v>yes</v>
      </c>
      <c r="O9" s="7" t="n">
        <v>3</v>
      </c>
      <c r="P9" s="12" t="n">
        <f aca="false">O9*MES_HRS*WEEKS*(1+MES_DIM)^O9</f>
        <v>140.126044921875</v>
      </c>
      <c r="Q9" s="17" t="n">
        <f aca="false">MIN(P9,OWN_HRS)*OWN_RATE+MAX(0,P9-OWN_HRS)*TEMP_RATE+O9*MES_FERT</f>
        <v>7505.1762796875</v>
      </c>
      <c r="R9" s="17" t="n">
        <f aca="false">Q9-Q8</f>
        <v>2541.7680296875</v>
      </c>
      <c r="S9" s="17" t="n">
        <f aca="false">MES_PRICE</f>
        <v>2700</v>
      </c>
      <c r="T9" s="25" t="str">
        <f aca="false">IF(R9&lt;=S9,"yes","no")</f>
        <v>yes</v>
      </c>
    </row>
    <row r="10" customFormat="false" ht="15" hidden="false" customHeight="false" outlineLevel="0" collapsed="false">
      <c r="A10" s="7" t="n">
        <v>4</v>
      </c>
      <c r="B10" s="12" t="n">
        <f aca="false">A10*TOM_HRS*WEEKS*(1+TOM_DIM)^A10</f>
        <v>527.076</v>
      </c>
      <c r="C10" s="17" t="n">
        <f aca="false">MIN(B10,OWN_HRS)*OWN_RATE+MAX(0,B10-OWN_HRS)*TEMP_RATE+A10*TOM_FERT</f>
        <v>21820.07872</v>
      </c>
      <c r="D10" s="17" t="n">
        <f aca="false">C10-C9</f>
        <v>6702.75232</v>
      </c>
      <c r="E10" s="17" t="n">
        <f aca="false">TOM_PRICE</f>
        <v>8800</v>
      </c>
      <c r="F10" s="25" t="str">
        <f aca="false">IF(D10&lt;=E10,"yes","no")</f>
        <v>yes</v>
      </c>
      <c r="H10" s="7" t="n">
        <v>4</v>
      </c>
      <c r="I10" s="12" t="n">
        <f aca="false">H10*CAR_HRS*WEEKS*(1+CAR_DIM)^H10</f>
        <v>132.40456385625</v>
      </c>
      <c r="J10" s="17" t="n">
        <f aca="false">MIN(I10,OWN_HRS)*OWN_RATE+MAX(0,I10-OWN_HRS)*TEMP_RATE+H10*CAR_FERT</f>
        <v>6357.086457089</v>
      </c>
      <c r="K10" s="17" t="n">
        <f aca="false">J10-J9</f>
        <v>1673.364659219</v>
      </c>
      <c r="L10" s="17" t="n">
        <f aca="false">CAR_PRICE</f>
        <v>2094</v>
      </c>
      <c r="M10" s="25" t="str">
        <f aca="false">IF(K10&lt;=L10,"yes","no")</f>
        <v>yes</v>
      </c>
      <c r="O10" s="7" t="n">
        <v>4</v>
      </c>
      <c r="P10" s="12" t="n">
        <f aca="false">O10*MES_HRS*WEEKS*(1+MES_DIM)^O10</f>
        <v>189.170160644531</v>
      </c>
      <c r="Q10" s="17" t="n">
        <f aca="false">MIN(P10,OWN_HRS)*OWN_RATE+MAX(0,P10-OWN_HRS)*TEMP_RATE+O10*MES_FERT</f>
        <v>10087.9879775781</v>
      </c>
      <c r="R10" s="17" t="n">
        <f aca="false">Q10-Q9</f>
        <v>2582.81169789062</v>
      </c>
      <c r="S10" s="17" t="n">
        <f aca="false">MES_PRICE</f>
        <v>2700</v>
      </c>
      <c r="T10" s="25" t="str">
        <f aca="false">IF(R10&lt;=S10,"yes","no")</f>
        <v>yes</v>
      </c>
    </row>
    <row r="11" customFormat="false" ht="15" hidden="false" customHeight="false" outlineLevel="0" collapsed="false">
      <c r="A11" s="7" t="n">
        <v>5</v>
      </c>
      <c r="B11" s="12" t="n">
        <f aca="false">A11*TOM_HRS*WEEKS*(1+TOM_DIM)^A11</f>
        <v>724.7295</v>
      </c>
      <c r="C11" s="17" t="n">
        <f aca="false">MIN(B11,OWN_HRS)*OWN_RATE+MAX(0,B11-OWN_HRS)*TEMP_RATE+A11*TOM_FERT</f>
        <v>29480.50412</v>
      </c>
      <c r="D11" s="17" t="n">
        <f aca="false">C11-C10</f>
        <v>7660.4254</v>
      </c>
      <c r="E11" s="17" t="n">
        <f aca="false">TOM_PRICE</f>
        <v>8800</v>
      </c>
      <c r="F11" s="25" t="str">
        <f aca="false">IF(D11&lt;=E11,"yes","no")</f>
        <v>yes</v>
      </c>
      <c r="H11" s="7" t="n">
        <v>5</v>
      </c>
      <c r="I11" s="12" t="n">
        <f aca="false">H11*CAR_HRS*WEEKS*(1+CAR_DIM)^H11</f>
        <v>169.64334744082</v>
      </c>
      <c r="J11" s="17" t="n">
        <f aca="false">MIN(I11,OWN_HRS)*OWN_RATE+MAX(0,I11-OWN_HRS)*TEMP_RATE+H11*CAR_FERT</f>
        <v>8090.01702314528</v>
      </c>
      <c r="K11" s="17" t="n">
        <f aca="false">J11-J10</f>
        <v>1732.93056605628</v>
      </c>
      <c r="L11" s="17" t="n">
        <f aca="false">CAR_PRICE</f>
        <v>2094</v>
      </c>
      <c r="M11" s="25" t="str">
        <f aca="false">IF(K11&lt;=L11,"yes","no")</f>
        <v>yes</v>
      </c>
      <c r="O11" s="7" t="n">
        <v>5</v>
      </c>
      <c r="P11" s="12" t="n">
        <f aca="false">O11*MES_HRS*WEEKS*(1+MES_DIM)^O11</f>
        <v>239.418484565735</v>
      </c>
      <c r="Q11" s="17" t="n">
        <f aca="false">MIN(P11,OWN_HRS)*OWN_RATE+MAX(0,P11-OWN_HRS)*TEMP_RATE+O11*MES_FERT</f>
        <v>12712.6097841223</v>
      </c>
      <c r="R11" s="17" t="n">
        <f aca="false">Q11-Q10</f>
        <v>2624.62180654419</v>
      </c>
      <c r="S11" s="17" t="n">
        <f aca="false">MES_PRICE</f>
        <v>2700</v>
      </c>
      <c r="T11" s="25" t="str">
        <f aca="false">IF(R11&lt;=S11,"yes","no")</f>
        <v>yes</v>
      </c>
    </row>
    <row r="12" customFormat="false" ht="15" hidden="false" customHeight="false" outlineLevel="0" collapsed="false">
      <c r="A12" s="7" t="n">
        <v>6</v>
      </c>
      <c r="B12" s="12" t="n">
        <f aca="false">A12*TOM_HRS*WEEKS*(1+TOM_DIM)^A12</f>
        <v>956.64294</v>
      </c>
      <c r="C12" s="17" t="n">
        <f aca="false">MIN(B12,OWN_HRS)*OWN_RATE+MAX(0,B12-OWN_HRS)*TEMP_RATE+A12*TOM_FERT</f>
        <v>34386.5214384</v>
      </c>
      <c r="D12" s="17" t="n">
        <f aca="false">C12-C11</f>
        <v>4906.01731840001</v>
      </c>
      <c r="E12" s="17" t="n">
        <f aca="false">TOM_PRICE</f>
        <v>8800</v>
      </c>
      <c r="F12" s="25" t="str">
        <f aca="false">IF(D12&lt;=E12,"yes","no")</f>
        <v>yes</v>
      </c>
      <c r="H12" s="7" t="n">
        <v>6</v>
      </c>
      <c r="I12" s="12" t="n">
        <f aca="false">H12*CAR_HRS*WEEKS*(1+CAR_DIM)^H12</f>
        <v>208.661317352209</v>
      </c>
      <c r="J12" s="17" t="n">
        <f aca="false">MIN(I12,OWN_HRS)*OWN_RATE+MAX(0,I12-OWN_HRS)*TEMP_RATE+H12*CAR_FERT</f>
        <v>9884.72093846869</v>
      </c>
      <c r="K12" s="17" t="n">
        <f aca="false">J12-J11</f>
        <v>1794.70391532341</v>
      </c>
      <c r="L12" s="17" t="n">
        <f aca="false">CAR_PRICE</f>
        <v>2094</v>
      </c>
      <c r="M12" s="25" t="str">
        <f aca="false">IF(K12&lt;=L12,"yes","no")</f>
        <v>yes</v>
      </c>
      <c r="O12" s="7" t="n">
        <v>6</v>
      </c>
      <c r="P12" s="12" t="n">
        <f aca="false">O12*MES_HRS*WEEKS*(1+MES_DIM)^O12</f>
        <v>290.893458747368</v>
      </c>
      <c r="Q12" s="17" t="n">
        <f aca="false">MIN(P12,OWN_HRS)*OWN_RATE+MAX(0,P12-OWN_HRS)*TEMP_RATE+O12*MES_FERT</f>
        <v>15379.8208877086</v>
      </c>
      <c r="R12" s="17" t="n">
        <f aca="false">Q12-Q11</f>
        <v>2667.21110358629</v>
      </c>
      <c r="S12" s="17" t="n">
        <f aca="false">MES_PRICE</f>
        <v>2700</v>
      </c>
      <c r="T12" s="25" t="str">
        <f aca="false">IF(R12&lt;=S12,"yes","no")</f>
        <v>yes</v>
      </c>
    </row>
    <row r="13" customFormat="false" ht="15" hidden="false" customHeight="false" outlineLevel="0" collapsed="false">
      <c r="A13" s="7" t="n">
        <v>7</v>
      </c>
      <c r="B13" s="12" t="n">
        <f aca="false">A13*TOM_HRS*WEEKS*(1+TOM_DIM)^A13</f>
        <v>1227.691773</v>
      </c>
      <c r="C13" s="17" t="n">
        <f aca="false">MIN(B13,OWN_HRS)*OWN_RATE+MAX(0,B13-OWN_HRS)*TEMP_RATE+A13*TOM_FERT</f>
        <v>39971.92917928</v>
      </c>
      <c r="D13" s="17" t="n">
        <f aca="false">C13-C12</f>
        <v>5585.40774088</v>
      </c>
      <c r="E13" s="17" t="n">
        <f aca="false">TOM_PRICE</f>
        <v>8800</v>
      </c>
      <c r="F13" s="25" t="str">
        <f aca="false">IF(D13&lt;=E13,"yes","no")</f>
        <v>yes</v>
      </c>
      <c r="H13" s="7" t="n">
        <v>7</v>
      </c>
      <c r="I13" s="12" t="n">
        <f aca="false">H13*CAR_HRS*WEEKS*(1+CAR_DIM)^H13</f>
        <v>249.524158667016</v>
      </c>
      <c r="J13" s="17" t="n">
        <f aca="false">MIN(I13,OWN_HRS)*OWN_RATE+MAX(0,I13-OWN_HRS)*TEMP_RATE+H13*CAR_FERT</f>
        <v>11743.4787889188</v>
      </c>
      <c r="K13" s="17" t="n">
        <f aca="false">J13-J12</f>
        <v>1858.75785045012</v>
      </c>
      <c r="L13" s="17" t="n">
        <f aca="false">CAR_PRICE</f>
        <v>2094</v>
      </c>
      <c r="M13" s="25" t="str">
        <f aca="false">IF(K13&lt;=L13,"yes","no")</f>
        <v>yes</v>
      </c>
      <c r="O13" s="7" t="n">
        <v>7</v>
      </c>
      <c r="P13" s="12" t="n">
        <f aca="false">O13*MES_HRS*WEEKS*(1+MES_DIM)^O13</f>
        <v>343.617898145328</v>
      </c>
      <c r="Q13" s="17" t="n">
        <f aca="false">MIN(P13,OWN_HRS)*OWN_RATE+MAX(0,P13-OWN_HRS)*TEMP_RATE+O13*MES_FERT</f>
        <v>18090.4134236058</v>
      </c>
      <c r="R13" s="17" t="n">
        <f aca="false">Q13-Q12</f>
        <v>2710.59253589719</v>
      </c>
      <c r="S13" s="17" t="n">
        <f aca="false">MES_PRICE</f>
        <v>2700</v>
      </c>
      <c r="T13" s="25" t="str">
        <f aca="false">IF(R13&lt;=S13,"yes","no")</f>
        <v>no</v>
      </c>
    </row>
    <row r="14" customFormat="false" ht="15" hidden="false" customHeight="false" outlineLevel="0" collapsed="false">
      <c r="A14" s="7" t="n">
        <v>8</v>
      </c>
      <c r="B14" s="12" t="n">
        <f aca="false">A14*TOM_HRS*WEEKS*(1+TOM_DIM)^A14</f>
        <v>1543.3839432</v>
      </c>
      <c r="C14" s="17" t="n">
        <f aca="false">MIN(B14,OWN_HRS)*OWN_RATE+MAX(0,B14-OWN_HRS)*TEMP_RATE+A14*TOM_FERT</f>
        <v>46332.345253952</v>
      </c>
      <c r="D14" s="17" t="n">
        <f aca="false">C14-C13</f>
        <v>6360.41607467201</v>
      </c>
      <c r="E14" s="17" t="n">
        <f aca="false">TOM_PRICE</f>
        <v>8800</v>
      </c>
      <c r="F14" s="25" t="str">
        <f aca="false">IF(D14&lt;=E14,"yes","no")</f>
        <v>yes</v>
      </c>
      <c r="H14" s="7" t="n">
        <v>8</v>
      </c>
      <c r="I14" s="12" t="n">
        <f aca="false">H14*CAR_HRS*WEEKS*(1+CAR_DIM)^H14</f>
        <v>292.299728724219</v>
      </c>
      <c r="J14" s="17" t="n">
        <f aca="false">MIN(I14,OWN_HRS)*OWN_RATE+MAX(0,I14-OWN_HRS)*TEMP_RATE+H14*CAR_FERT</f>
        <v>13668.6465813049</v>
      </c>
      <c r="K14" s="17" t="n">
        <f aca="false">J14-J13</f>
        <v>1925.16779238608</v>
      </c>
      <c r="L14" s="17" t="n">
        <f aca="false">CAR_PRICE</f>
        <v>2094</v>
      </c>
      <c r="M14" s="25" t="str">
        <f aca="false">IF(K14&lt;=L14,"yes","no")</f>
        <v>yes</v>
      </c>
      <c r="O14" s="7" t="n">
        <v>8</v>
      </c>
      <c r="P14" s="12" t="n">
        <f aca="false">O14*MES_HRS*WEEKS*(1+MES_DIM)^O14</f>
        <v>397.614996425308</v>
      </c>
      <c r="Q14" s="17" t="n">
        <f aca="false">MIN(P14,OWN_HRS)*OWN_RATE+MAX(0,P14-OWN_HRS)*TEMP_RATE+O14*MES_FERT</f>
        <v>20845.1926758867</v>
      </c>
      <c r="R14" s="17" t="n">
        <f aca="false">Q14-Q13</f>
        <v>2754.77925228091</v>
      </c>
      <c r="S14" s="17" t="n">
        <f aca="false">MES_PRICE</f>
        <v>2700</v>
      </c>
      <c r="T14" s="25" t="str">
        <f aca="false">IF(R14&lt;=S14,"yes","no")</f>
        <v>no</v>
      </c>
    </row>
    <row r="15" customFormat="false" ht="15" hidden="false" customHeight="false" outlineLevel="0" collapsed="false">
      <c r="A15" s="7" t="n">
        <v>9</v>
      </c>
      <c r="B15" s="12" t="n">
        <f aca="false">A15*TOM_HRS*WEEKS*(1+TOM_DIM)^A15</f>
        <v>1909.93762971</v>
      </c>
      <c r="C15" s="17" t="n">
        <f aca="false">MIN(B15,OWN_HRS)*OWN_RATE+MAX(0,B15-OWN_HRS)*TEMP_RATE+A15*TOM_FERT</f>
        <v>53575.7172517656</v>
      </c>
      <c r="D15" s="17" t="n">
        <f aca="false">C15-C14</f>
        <v>7243.37199781361</v>
      </c>
      <c r="E15" s="17" t="n">
        <f aca="false">TOM_PRICE</f>
        <v>8800</v>
      </c>
      <c r="F15" s="25" t="str">
        <f aca="false">IF(D15&lt;=E15,"yes","no")</f>
        <v>yes</v>
      </c>
      <c r="H15" s="7" t="n">
        <v>9</v>
      </c>
      <c r="I15" s="12" t="n">
        <f aca="false">H15*CAR_HRS*WEEKS*(1+CAR_DIM)^H15</f>
        <v>337.058124685115</v>
      </c>
      <c r="J15" s="17" t="n">
        <f aca="false">MIN(I15,OWN_HRS)*OWN_RATE+MAX(0,I15-OWN_HRS)*TEMP_RATE+H15*CAR_FERT</f>
        <v>15662.6580890672</v>
      </c>
      <c r="K15" s="17" t="n">
        <f aca="false">J15-J14</f>
        <v>1994.01150776231</v>
      </c>
      <c r="L15" s="17" t="n">
        <f aca="false">CAR_PRICE</f>
        <v>2094</v>
      </c>
      <c r="M15" s="25" t="str">
        <f aca="false">IF(K15&lt;=L15,"yes","no")</f>
        <v>yes</v>
      </c>
      <c r="O15" s="7" t="n">
        <v>9</v>
      </c>
      <c r="P15" s="12" t="n">
        <f aca="false">O15*MES_HRS*WEEKS*(1+MES_DIM)^O15</f>
        <v>452.908331865703</v>
      </c>
      <c r="Q15" s="17" t="n">
        <f aca="false">MIN(P15,OWN_HRS)*OWN_RATE+MAX(0,P15-OWN_HRS)*TEMP_RATE+O15*MES_FERT</f>
        <v>23644.9772823772</v>
      </c>
      <c r="R15" s="17" t="n">
        <f aca="false">Q15-Q14</f>
        <v>2799.7846064905</v>
      </c>
      <c r="S15" s="17" t="n">
        <f aca="false">MES_PRICE</f>
        <v>2700</v>
      </c>
      <c r="T15" s="25" t="str">
        <f aca="false">IF(R15&lt;=S15,"yes","no")</f>
        <v>no</v>
      </c>
    </row>
    <row r="16" customFormat="false" ht="15" hidden="false" customHeight="false" outlineLevel="0" collapsed="false">
      <c r="A16" s="7" t="n">
        <v>10</v>
      </c>
      <c r="B16" s="12" t="n">
        <f aca="false">A16*TOM_HRS*WEEKS*(1+TOM_DIM)^A16</f>
        <v>2334.36821409</v>
      </c>
      <c r="C16" s="17" t="n">
        <f aca="false">MIN(B16,OWN_HRS)*OWN_RATE+MAX(0,B16-OWN_HRS)*TEMP_RATE+A16*TOM_FERT</f>
        <v>61823.8321966024</v>
      </c>
      <c r="D16" s="17" t="n">
        <f aca="false">C16-C15</f>
        <v>8248.1149448368</v>
      </c>
      <c r="E16" s="17" t="n">
        <f aca="false">TOM_PRICE</f>
        <v>8800</v>
      </c>
      <c r="F16" s="25" t="str">
        <f aca="false">IF(D16&lt;=E16,"yes","no")</f>
        <v>yes</v>
      </c>
      <c r="H16" s="7" t="n">
        <v>10</v>
      </c>
      <c r="I16" s="12" t="n">
        <f aca="false">H16*CAR_HRS*WEEKS*(1+CAR_DIM)^H16</f>
        <v>383.871753113603</v>
      </c>
      <c r="J16" s="17" t="n">
        <f aca="false">MIN(I16,OWN_HRS)*OWN_RATE+MAX(0,I16-OWN_HRS)*TEMP_RATE+H16*CAR_FERT</f>
        <v>17728.0272681043</v>
      </c>
      <c r="K16" s="17" t="n">
        <f aca="false">J16-J15</f>
        <v>2065.36917903711</v>
      </c>
      <c r="L16" s="17" t="n">
        <f aca="false">CAR_PRICE</f>
        <v>2094</v>
      </c>
      <c r="M16" s="25" t="str">
        <f aca="false">IF(K16&lt;=L16,"yes","no")</f>
        <v>yes</v>
      </c>
      <c r="O16" s="7" t="n">
        <v>10</v>
      </c>
      <c r="P16" s="12" t="n">
        <f aca="false">O16*MES_HRS*WEEKS*(1+MES_DIM)^O16</f>
        <v>509.521873348916</v>
      </c>
      <c r="Q16" s="17" t="n">
        <f aca="false">MIN(P16,OWN_HRS)*OWN_RATE+MAX(0,P16-OWN_HRS)*TEMP_RATE+O16*MES_FERT</f>
        <v>26490.5994426743</v>
      </c>
      <c r="R16" s="17" t="n">
        <f aca="false">Q16-Q15</f>
        <v>2845.62216029715</v>
      </c>
      <c r="S16" s="17" t="n">
        <f aca="false">MES_PRICE</f>
        <v>2700</v>
      </c>
      <c r="T16" s="25" t="str">
        <f aca="false">IF(R16&lt;=S16,"yes","no")</f>
        <v>no</v>
      </c>
    </row>
    <row r="17" customFormat="false" ht="15" hidden="false" customHeight="false" outlineLevel="0" collapsed="false">
      <c r="A17" s="7" t="n">
        <v>11</v>
      </c>
      <c r="B17" s="12" t="n">
        <f aca="false">A17*TOM_HRS*WEEKS*(1+TOM_DIM)^A17</f>
        <v>2824.5855390489</v>
      </c>
      <c r="C17" s="17" t="n">
        <f aca="false">MIN(B17,OWN_HRS)*OWN_RATE+MAX(0,B17-OWN_HRS)*TEMP_RATE+A17*TOM_FERT</f>
        <v>71214.0049578889</v>
      </c>
      <c r="D17" s="17" t="n">
        <f aca="false">C17-C16</f>
        <v>9390.17276128651</v>
      </c>
      <c r="E17" s="17" t="n">
        <f aca="false">TOM_PRICE</f>
        <v>8800</v>
      </c>
      <c r="F17" s="25" t="str">
        <f aca="false">IF(D17&lt;=E17,"yes","no")</f>
        <v>no</v>
      </c>
      <c r="H17" s="7" t="n">
        <v>11</v>
      </c>
      <c r="I17" s="12" t="n">
        <f aca="false">H17*CAR_HRS*WEEKS*(1+CAR_DIM)^H17</f>
        <v>432.815401635588</v>
      </c>
      <c r="J17" s="17" t="n">
        <f aca="false">MIN(I17,OWN_HRS)*OWN_RATE+MAX(0,I17-OWN_HRS)*TEMP_RATE+H17*CAR_FERT</f>
        <v>19867.3507447876</v>
      </c>
      <c r="K17" s="17" t="n">
        <f aca="false">J17-J16</f>
        <v>2139.3234766833</v>
      </c>
      <c r="L17" s="17" t="n">
        <f aca="false">CAR_PRICE</f>
        <v>2094</v>
      </c>
      <c r="M17" s="25" t="str">
        <f aca="false">IF(K17&lt;=L17,"yes","no")</f>
        <v>no</v>
      </c>
      <c r="O17" s="7" t="n">
        <v>11</v>
      </c>
      <c r="P17" s="12" t="n">
        <f aca="false">O17*MES_HRS*WEEKS*(1+MES_DIM)^O17</f>
        <v>567.479986442355</v>
      </c>
      <c r="Q17" s="17" t="n">
        <f aca="false">MIN(P17,OWN_HRS)*OWN_RATE+MAX(0,P17-OWN_HRS)*TEMP_RATE+O17*MES_FERT</f>
        <v>29382.9051292786</v>
      </c>
      <c r="R17" s="17" t="n">
        <f aca="false">Q17-Q16</f>
        <v>2892.30568660421</v>
      </c>
      <c r="S17" s="17" t="n">
        <f aca="false">MES_PRICE</f>
        <v>2700</v>
      </c>
      <c r="T17" s="25" t="str">
        <f aca="false">IF(R17&lt;=S17,"yes","no")</f>
        <v>no</v>
      </c>
    </row>
    <row r="18" customFormat="false" ht="15" hidden="false" customHeight="false" outlineLevel="0" collapsed="false">
      <c r="A18" s="7" t="n">
        <v>12</v>
      </c>
      <c r="B18" s="12" t="n">
        <f aca="false">A18*TOM_HRS*WEEKS*(1+TOM_DIM)^A18</f>
        <v>3389.50264685868</v>
      </c>
      <c r="C18" s="17" t="n">
        <f aca="false">MIN(B18,OWN_HRS)*OWN_RATE+MAX(0,B18-OWN_HRS)*TEMP_RATE+A18*TOM_FERT</f>
        <v>81900.9659494667</v>
      </c>
      <c r="D18" s="17" t="n">
        <f aca="false">C18-C17</f>
        <v>10686.9609915778</v>
      </c>
      <c r="E18" s="17" t="n">
        <f aca="false">TOM_PRICE</f>
        <v>8800</v>
      </c>
      <c r="F18" s="25" t="str">
        <f aca="false">IF(D18&lt;=E18,"yes","no")</f>
        <v>no</v>
      </c>
      <c r="H18" s="7" t="n">
        <v>12</v>
      </c>
      <c r="I18" s="12" t="n">
        <f aca="false">H18*CAR_HRS*WEEKS*(1+CAR_DIM)^H18</f>
        <v>483.966312737975</v>
      </c>
      <c r="J18" s="17" t="n">
        <f aca="false">MIN(I18,OWN_HRS)*OWN_RATE+MAX(0,I18-OWN_HRS)*TEMP_RATE+H18*CAR_FERT</f>
        <v>22083.3103782625</v>
      </c>
      <c r="K18" s="17" t="n">
        <f aca="false">J18-J17</f>
        <v>2215.95963347489</v>
      </c>
      <c r="L18" s="17" t="n">
        <f aca="false">CAR_PRICE</f>
        <v>2094</v>
      </c>
      <c r="M18" s="25" t="str">
        <f aca="false">IF(K18&lt;=L18,"yes","no")</f>
        <v>no</v>
      </c>
      <c r="O18" s="7" t="n">
        <v>12</v>
      </c>
      <c r="P18" s="12" t="n">
        <f aca="false">O18*MES_HRS*WEEKS*(1+MES_DIM)^O18</f>
        <v>626.807439570419</v>
      </c>
      <c r="Q18" s="17" t="n">
        <f aca="false">MIN(P18,OWN_HRS)*OWN_RATE+MAX(0,P18-OWN_HRS)*TEMP_RATE+O18*MES_FERT</f>
        <v>32322.7543018849</v>
      </c>
      <c r="R18" s="17" t="n">
        <f aca="false">Q18-Q17</f>
        <v>2939.8491726064</v>
      </c>
      <c r="S18" s="17" t="n">
        <f aca="false">MES_PRICE</f>
        <v>2700</v>
      </c>
      <c r="T18" s="25" t="str">
        <f aca="false">IF(R18&lt;=S18,"yes","no")</f>
        <v>no</v>
      </c>
    </row>
    <row r="19" customFormat="false" ht="15" hidden="false" customHeight="false" outlineLevel="0" collapsed="false">
      <c r="A19" s="7" t="n">
        <v>13</v>
      </c>
      <c r="B19" s="12" t="n">
        <f aca="false">A19*TOM_HRS*WEEKS*(1+TOM_DIM)^A19</f>
        <v>4039.15732083993</v>
      </c>
      <c r="C19" s="17" t="n">
        <f aca="false">MIN(B19,OWN_HRS)*OWN_RATE+MAX(0,B19-OWN_HRS)*TEMP_RATE+A19*TOM_FERT</f>
        <v>94058.9710897812</v>
      </c>
      <c r="D19" s="17" t="n">
        <f aca="false">C19-C18</f>
        <v>12158.0051403145</v>
      </c>
      <c r="E19" s="17" t="n">
        <f aca="false">TOM_PRICE</f>
        <v>8800</v>
      </c>
      <c r="F19" s="25" t="str">
        <f aca="false">IF(D19&lt;=E19,"yes","no")</f>
        <v>no</v>
      </c>
      <c r="H19" s="7" t="n">
        <v>13</v>
      </c>
      <c r="I19" s="12" t="n">
        <f aca="false">H19*CAR_HRS*WEEKS*(1+CAR_DIM)^H19</f>
        <v>537.40425976946</v>
      </c>
      <c r="J19" s="17" t="n">
        <f aca="false">MIN(I19,OWN_HRS)*OWN_RATE+MAX(0,I19-OWN_HRS)*TEMP_RATE+H19*CAR_FERT</f>
        <v>24378.6758991957</v>
      </c>
      <c r="K19" s="17" t="n">
        <f aca="false">J19-J18</f>
        <v>2295.36552093315</v>
      </c>
      <c r="L19" s="17" t="n">
        <f aca="false">CAR_PRICE</f>
        <v>2094</v>
      </c>
      <c r="M19" s="25" t="str">
        <f aca="false">IF(K19&lt;=L19,"yes","no")</f>
        <v>no</v>
      </c>
      <c r="O19" s="7" t="n">
        <v>13</v>
      </c>
      <c r="P19" s="12" t="n">
        <f aca="false">O19*MES_HRS*WEEKS*(1+MES_DIM)^O19</f>
        <v>687.529410278803</v>
      </c>
      <c r="Q19" s="17" t="n">
        <f aca="false">MIN(P19,OWN_HRS)*OWN_RATE+MAX(0,P19-OWN_HRS)*TEMP_RATE+O19*MES_FERT</f>
        <v>35311.0211248801</v>
      </c>
      <c r="R19" s="17" t="n">
        <f aca="false">Q19-Q18</f>
        <v>2988.2668229951</v>
      </c>
      <c r="S19" s="17" t="n">
        <f aca="false">MES_PRICE</f>
        <v>2700</v>
      </c>
      <c r="T19" s="25" t="str">
        <f aca="false">IF(R19&lt;=S19,"yes","no")</f>
        <v>no</v>
      </c>
    </row>
    <row r="20" customFormat="false" ht="15" hidden="false" customHeight="false" outlineLevel="0" collapsed="false">
      <c r="A20" s="7" t="n">
        <v>14</v>
      </c>
      <c r="B20" s="12" t="n">
        <f aca="false">A20*TOM_HRS*WEEKS*(1+TOM_DIM)^A20</f>
        <v>4784.84790314884</v>
      </c>
      <c r="C20" s="17" t="n">
        <f aca="false">MIN(B20,OWN_HRS)*OWN_RATE+MAX(0,B20-OWN_HRS)*TEMP_RATE+A20*TOM_FERT</f>
        <v>107884.159598664</v>
      </c>
      <c r="D20" s="17" t="n">
        <f aca="false">C20-C19</f>
        <v>13825.1885088827</v>
      </c>
      <c r="E20" s="17" t="n">
        <f aca="false">TOM_PRICE</f>
        <v>8800</v>
      </c>
      <c r="F20" s="25" t="str">
        <f aca="false">IF(D20&lt;=E20,"yes","no")</f>
        <v>no</v>
      </c>
      <c r="H20" s="7" t="n">
        <v>14</v>
      </c>
      <c r="I20" s="12" t="n">
        <f aca="false">H20*CAR_HRS*WEEKS*(1+CAR_DIM)^H20</f>
        <v>593.211625207058</v>
      </c>
      <c r="J20" s="17" t="n">
        <f aca="false">MIN(I20,OWN_HRS)*OWN_RATE+MAX(0,I20-OWN_HRS)*TEMP_RATE+H20*CAR_FERT</f>
        <v>26756.3076271891</v>
      </c>
      <c r="K20" s="17" t="n">
        <f aca="false">J20-J19</f>
        <v>2377.6317279934</v>
      </c>
      <c r="L20" s="17" t="n">
        <f aca="false">CAR_PRICE</f>
        <v>2094</v>
      </c>
      <c r="M20" s="25" t="str">
        <f aca="false">IF(K20&lt;=L20,"yes","no")</f>
        <v>no</v>
      </c>
      <c r="O20" s="7" t="n">
        <v>14</v>
      </c>
      <c r="P20" s="12" t="n">
        <f aca="false">O20*MES_HRS*WEEKS*(1+MES_DIM)^O20</f>
        <v>749.671491592464</v>
      </c>
      <c r="Q20" s="17" t="n">
        <f aca="false">MIN(P20,OWN_HRS)*OWN_RATE+MAX(0,P20-OWN_HRS)*TEMP_RATE+O20*MES_FERT</f>
        <v>37833.4970940452</v>
      </c>
      <c r="R20" s="17" t="n">
        <f aca="false">Q20-Q19</f>
        <v>2522.47596916513</v>
      </c>
      <c r="S20" s="17" t="n">
        <f aca="false">MES_PRICE</f>
        <v>2700</v>
      </c>
      <c r="T20" s="25" t="str">
        <f aca="false">IF(R20&lt;=S20,"yes","no")</f>
        <v>yes</v>
      </c>
    </row>
    <row r="21" customFormat="false" ht="15" hidden="false" customHeight="false" outlineLevel="0" collapsed="false">
      <c r="A21" s="7" t="n">
        <v>15</v>
      </c>
      <c r="B21" s="12" t="n">
        <f aca="false">A21*TOM_HRS*WEEKS*(1+TOM_DIM)^A21</f>
        <v>5639.28502871114</v>
      </c>
      <c r="C21" s="17" t="n">
        <f aca="false">MIN(B21,OWN_HRS)*OWN_RATE+MAX(0,B21-OWN_HRS)*TEMP_RATE+A21*TOM_FERT</f>
        <v>123597.188098425</v>
      </c>
      <c r="D21" s="17" t="n">
        <f aca="false">C21-C20</f>
        <v>15713.0284997614</v>
      </c>
      <c r="E21" s="17" t="n">
        <f aca="false">TOM_PRICE</f>
        <v>8800</v>
      </c>
      <c r="F21" s="25" t="str">
        <f aca="false">IF(D21&lt;=E21,"yes","no")</f>
        <v>no</v>
      </c>
      <c r="H21" s="7" t="n">
        <v>15</v>
      </c>
      <c r="I21" s="12" t="n">
        <f aca="false">H21*CAR_HRS*WEEKS*(1+CAR_DIM)^H21</f>
        <v>651.47348125418</v>
      </c>
      <c r="J21" s="17" t="n">
        <f aca="false">MIN(I21,OWN_HRS)*OWN_RATE+MAX(0,I21-OWN_HRS)*TEMP_RATE+H21*CAR_FERT</f>
        <v>29219.1592691451</v>
      </c>
      <c r="K21" s="17" t="n">
        <f aca="false">J21-J20</f>
        <v>2462.85164195607</v>
      </c>
      <c r="L21" s="17" t="n">
        <f aca="false">CAR_PRICE</f>
        <v>2094</v>
      </c>
      <c r="M21" s="25" t="str">
        <f aca="false">IF(K21&lt;=L21,"yes","no")</f>
        <v>no</v>
      </c>
      <c r="O21" s="7" t="n">
        <v>15</v>
      </c>
      <c r="P21" s="12" t="n">
        <f aca="false">O21*MES_HRS*WEEKS*(1+MES_DIM)^O21</f>
        <v>813.259698468611</v>
      </c>
      <c r="Q21" s="17" t="n">
        <f aca="false">MIN(P21,OWN_HRS)*OWN_RATE+MAX(0,P21-OWN_HRS)*TEMP_RATE+O21*MES_FERT</f>
        <v>39817.3883654151</v>
      </c>
      <c r="R21" s="17" t="n">
        <f aca="false">Q21-Q20</f>
        <v>1983.89127136991</v>
      </c>
      <c r="S21" s="17" t="n">
        <f aca="false">MES_PRICE</f>
        <v>2700</v>
      </c>
      <c r="T21" s="25" t="str">
        <f aca="false">IF(R21&lt;=S21,"yes","no")</f>
        <v>yes</v>
      </c>
    </row>
    <row r="22" customFormat="false" ht="15" hidden="false" customHeight="false" outlineLevel="0" collapsed="false">
      <c r="A22" s="7" t="n">
        <v>16</v>
      </c>
      <c r="B22" s="12" t="n">
        <f aca="false">A22*TOM_HRS*WEEKS*(1+TOM_DIM)^A22</f>
        <v>6616.7611003544</v>
      </c>
      <c r="C22" s="17" t="n">
        <f aca="false">MIN(B22,OWN_HRS)*OWN_RATE+MAX(0,B22-OWN_HRS)*TEMP_RATE+A22*TOM_FERT</f>
        <v>141446.172702152</v>
      </c>
      <c r="D22" s="17" t="n">
        <f aca="false">C22-C21</f>
        <v>17848.9846037271</v>
      </c>
      <c r="E22" s="17" t="n">
        <f aca="false">TOM_PRICE</f>
        <v>8800</v>
      </c>
      <c r="F22" s="25" t="str">
        <f aca="false">IF(D22&lt;=E22,"yes","no")</f>
        <v>no</v>
      </c>
      <c r="H22" s="7" t="n">
        <v>16</v>
      </c>
      <c r="I22" s="12" t="n">
        <f aca="false">H22*CAR_HRS*WEEKS*(1+CAR_DIM)^H22</f>
        <v>712.277672837903</v>
      </c>
      <c r="J22" s="17" t="n">
        <f aca="false">MIN(I22,OWN_HRS)*OWN_RATE+MAX(0,I22-OWN_HRS)*TEMP_RATE+H22*CAR_FERT</f>
        <v>31770.280800932</v>
      </c>
      <c r="K22" s="17" t="n">
        <f aca="false">J22-J21</f>
        <v>2551.12153178687</v>
      </c>
      <c r="L22" s="17" t="n">
        <f aca="false">CAR_PRICE</f>
        <v>2094</v>
      </c>
      <c r="M22" s="25" t="str">
        <f aca="false">IF(K22&lt;=L22,"yes","no")</f>
        <v>no</v>
      </c>
      <c r="O22" s="7" t="n">
        <v>16</v>
      </c>
      <c r="P22" s="12" t="n">
        <f aca="false">O22*MES_HRS*WEEKS*(1+MES_DIM)^O22</f>
        <v>878.3204743461</v>
      </c>
      <c r="Q22" s="17" t="n">
        <f aca="false">MIN(P22,OWN_HRS)*OWN_RATE+MAX(0,P22-OWN_HRS)*TEMP_RATE+O22*MES_FERT</f>
        <v>41826.8434346483</v>
      </c>
      <c r="R22" s="17" t="n">
        <f aca="false">Q22-Q21</f>
        <v>2009.45506923321</v>
      </c>
      <c r="S22" s="17" t="n">
        <f aca="false">MES_PRICE</f>
        <v>2700</v>
      </c>
      <c r="T22" s="25" t="str">
        <f aca="false">IF(R22&lt;=S22,"yes","no")</f>
        <v>yes</v>
      </c>
    </row>
    <row r="23" customFormat="false" ht="15" hidden="false" customHeight="false" outlineLevel="0" collapsed="false">
      <c r="A23" s="7" t="n">
        <v>17</v>
      </c>
      <c r="B23" s="12" t="n">
        <f aca="false">A23*TOM_HRS*WEEKS*(1+TOM_DIM)^A23</f>
        <v>7733.33953603921</v>
      </c>
      <c r="C23" s="17" t="n">
        <f aca="false">MIN(B23,OWN_HRS)*OWN_RATE+MAX(0,B23-OWN_HRS)*TEMP_RATE+A23*TOM_FERT</f>
        <v>161709.974345641</v>
      </c>
      <c r="D23" s="17" t="n">
        <f aca="false">C23-C22</f>
        <v>20263.8016434882</v>
      </c>
      <c r="E23" s="17" t="n">
        <f aca="false">TOM_PRICE</f>
        <v>8800</v>
      </c>
      <c r="F23" s="25" t="str">
        <f aca="false">IF(D23&lt;=E23,"yes","no")</f>
        <v>no</v>
      </c>
      <c r="H23" s="7" t="n">
        <v>17</v>
      </c>
      <c r="I23" s="12" t="n">
        <f aca="false">H23*CAR_HRS*WEEKS*(1+CAR_DIM)^H23</f>
        <v>775.714903075029</v>
      </c>
      <c r="J23" s="17" t="n">
        <f aca="false">MIN(I23,OWN_HRS)*OWN_RATE+MAX(0,I23-OWN_HRS)*TEMP_RATE+H23*CAR_FERT</f>
        <v>33445.6107173825</v>
      </c>
      <c r="K23" s="17" t="n">
        <f aca="false">J23-J22</f>
        <v>1675.32991645051</v>
      </c>
      <c r="L23" s="17" t="n">
        <f aca="false">CAR_PRICE</f>
        <v>2094</v>
      </c>
      <c r="M23" s="25" t="str">
        <f aca="false">IF(K23&lt;=L23,"yes","no")</f>
        <v>yes</v>
      </c>
      <c r="O23" s="7" t="n">
        <v>17</v>
      </c>
      <c r="P23" s="12" t="n">
        <f aca="false">O23*MES_HRS*WEEKS*(1+MES_DIM)^O23</f>
        <v>944.88069779264</v>
      </c>
      <c r="Q23" s="17" t="n">
        <f aca="false">MIN(P23,OWN_HRS)*OWN_RATE+MAX(0,P23-OWN_HRS)*TEMP_RATE+O23*MES_FERT</f>
        <v>43862.3289136802</v>
      </c>
      <c r="R23" s="17" t="n">
        <f aca="false">Q23-Q22</f>
        <v>2035.48547903194</v>
      </c>
      <c r="S23" s="17" t="n">
        <f aca="false">MES_PRICE</f>
        <v>2700</v>
      </c>
      <c r="T23" s="25" t="str">
        <f aca="false">IF(R23&lt;=S23,"yes","no")</f>
        <v>yes</v>
      </c>
    </row>
    <row r="24" customFormat="false" ht="15" hidden="false" customHeight="false" outlineLevel="0" collapsed="false">
      <c r="A24" s="7" t="n">
        <v>18</v>
      </c>
      <c r="B24" s="12" t="n">
        <f aca="false">A24*TOM_HRS*WEEKS*(1+TOM_DIM)^A24</f>
        <v>9007.06604785743</v>
      </c>
      <c r="C24" s="17" t="n">
        <f aca="false">MIN(B24,OWN_HRS)*OWN_RATE+MAX(0,B24-OWN_HRS)*TEMP_RATE+A24*TOM_FERT</f>
        <v>184701.866590805</v>
      </c>
      <c r="D24" s="17" t="n">
        <f aca="false">C24-C23</f>
        <v>22991.8922451643</v>
      </c>
      <c r="E24" s="17" t="n">
        <f aca="false">TOM_PRICE</f>
        <v>8800</v>
      </c>
      <c r="F24" s="25" t="str">
        <f aca="false">IF(D24&lt;=E24,"yes","no")</f>
        <v>no</v>
      </c>
      <c r="H24" s="7" t="n">
        <v>18</v>
      </c>
      <c r="I24" s="12" t="n">
        <f aca="false">H24*CAR_HRS*WEEKS*(1+CAR_DIM)^H24</f>
        <v>841.878821278487</v>
      </c>
      <c r="J24" s="17" t="n">
        <f aca="false">MIN(I24,OWN_HRS)*OWN_RATE+MAX(0,I24-OWN_HRS)*TEMP_RATE+H24*CAR_FERT</f>
        <v>35034.2163373945</v>
      </c>
      <c r="K24" s="17" t="n">
        <f aca="false">J24-J23</f>
        <v>1588.60562001203</v>
      </c>
      <c r="L24" s="17" t="n">
        <f aca="false">CAR_PRICE</f>
        <v>2094</v>
      </c>
      <c r="M24" s="25" t="str">
        <f aca="false">IF(K24&lt;=L24,"yes","no")</f>
        <v>yes</v>
      </c>
      <c r="O24" s="7" t="n">
        <v>18</v>
      </c>
      <c r="P24" s="12" t="n">
        <f aca="false">O24*MES_HRS*WEEKS*(1+MES_DIM)^O24</f>
        <v>1012.96768925123</v>
      </c>
      <c r="Q24" s="17" t="n">
        <f aca="false">MIN(P24,OWN_HRS)*OWN_RATE+MAX(0,P24-OWN_HRS)*TEMP_RATE+O24*MES_FERT</f>
        <v>45924.3190854013</v>
      </c>
      <c r="R24" s="17" t="n">
        <f aca="false">Q24-Q23</f>
        <v>2061.99017172107</v>
      </c>
      <c r="S24" s="17" t="n">
        <f aca="false">MES_PRICE</f>
        <v>2700</v>
      </c>
      <c r="T24" s="25" t="str">
        <f aca="false">IF(R24&lt;=S24,"yes","no")</f>
        <v>yes</v>
      </c>
    </row>
    <row r="25" customFormat="false" ht="15" hidden="false" customHeight="false" outlineLevel="0" collapsed="false">
      <c r="A25" s="7" t="n">
        <v>19</v>
      </c>
      <c r="B25" s="12" t="n">
        <f aca="false">A25*TOM_HRS*WEEKS*(1+TOM_DIM)^A25</f>
        <v>10458.2044666789</v>
      </c>
      <c r="C25" s="17" t="n">
        <f aca="false">MIN(B25,OWN_HRS)*OWN_RATE+MAX(0,B25-OWN_HRS)*TEMP_RATE+A25*TOM_FERT</f>
        <v>210773.629541546</v>
      </c>
      <c r="D25" s="17" t="n">
        <f aca="false">C25-C24</f>
        <v>26071.7629507408</v>
      </c>
      <c r="E25" s="17" t="n">
        <f aca="false">TOM_PRICE</f>
        <v>8800</v>
      </c>
      <c r="F25" s="25" t="str">
        <f aca="false">IF(D25&lt;=E25,"yes","no")</f>
        <v>no</v>
      </c>
      <c r="H25" s="7" t="n">
        <v>19</v>
      </c>
      <c r="I25" s="12" t="n">
        <f aca="false">H25*CAR_HRS*WEEKS*(1+CAR_DIM)^H25</f>
        <v>910.866113577696</v>
      </c>
      <c r="J25" s="17" t="n">
        <f aca="false">MIN(I25,OWN_HRS)*OWN_RATE+MAX(0,I25-OWN_HRS)*TEMP_RATE+H25*CAR_FERT</f>
        <v>36671.8357317088</v>
      </c>
      <c r="K25" s="17" t="n">
        <f aca="false">J25-J24</f>
        <v>1637.61939431428</v>
      </c>
      <c r="L25" s="17" t="n">
        <f aca="false">CAR_PRICE</f>
        <v>2094</v>
      </c>
      <c r="M25" s="25" t="str">
        <f aca="false">IF(K25&lt;=L25,"yes","no")</f>
        <v>yes</v>
      </c>
      <c r="O25" s="7" t="n">
        <v>19</v>
      </c>
      <c r="P25" s="12" t="n">
        <f aca="false">O25*MES_HRS*WEEKS*(1+MES_DIM)^O25</f>
        <v>1082.60921788725</v>
      </c>
      <c r="Q25" s="17" t="n">
        <f aca="false">MIN(P25,OWN_HRS)*OWN_RATE+MAX(0,P25-OWN_HRS)*TEMP_RATE+O25*MES_FERT</f>
        <v>48013.2960225226</v>
      </c>
      <c r="R25" s="17" t="n">
        <f aca="false">Q25-Q24</f>
        <v>2088.97693712134</v>
      </c>
      <c r="S25" s="17" t="n">
        <f aca="false">MES_PRICE</f>
        <v>2700</v>
      </c>
      <c r="T25" s="25" t="str">
        <f aca="false">IF(R25&lt;=S25,"yes","no")</f>
        <v>yes</v>
      </c>
    </row>
    <row r="26" customFormat="false" ht="15" hidden="false" customHeight="false" outlineLevel="0" collapsed="false">
      <c r="A26" s="7" t="n">
        <v>20</v>
      </c>
      <c r="B26" s="12" t="n">
        <f aca="false">A26*TOM_HRS*WEEKS*(1+TOM_DIM)^A26</f>
        <v>12109.4999087861</v>
      </c>
      <c r="C26" s="17" t="n">
        <f aca="false">MIN(B26,OWN_HRS)*OWN_RATE+MAX(0,B26-OWN_HRS)*TEMP_RATE+A26*TOM_FERT</f>
        <v>240320.118416527</v>
      </c>
      <c r="D26" s="17" t="n">
        <f aca="false">C26-C25</f>
        <v>29546.4888749809</v>
      </c>
      <c r="E26" s="17" t="n">
        <f aca="false">TOM_PRICE</f>
        <v>8800</v>
      </c>
      <c r="F26" s="25" t="str">
        <f aca="false">IF(D26&lt;=E26,"yes","no")</f>
        <v>no</v>
      </c>
      <c r="H26" s="7" t="n">
        <v>20</v>
      </c>
      <c r="I26" s="12" t="n">
        <f aca="false">H26*CAR_HRS*WEEKS*(1+CAR_DIM)^H26</f>
        <v>982.776596228567</v>
      </c>
      <c r="J26" s="17" t="n">
        <f aca="false">MIN(I26,OWN_HRS)*OWN_RATE+MAX(0,I26-OWN_HRS)*TEMP_RATE+H26*CAR_FERT</f>
        <v>38360.2017105279</v>
      </c>
      <c r="K26" s="17" t="n">
        <f aca="false">J26-J25</f>
        <v>1688.36597881911</v>
      </c>
      <c r="L26" s="17" t="n">
        <f aca="false">CAR_PRICE</f>
        <v>2094</v>
      </c>
      <c r="M26" s="25" t="str">
        <f aca="false">IF(K26&lt;=L26,"yes","no")</f>
        <v>yes</v>
      </c>
      <c r="O26" s="7" t="n">
        <v>20</v>
      </c>
      <c r="P26" s="12" t="n">
        <f aca="false">O26*MES_HRS*WEEKS*(1+MES_DIM)^O26</f>
        <v>1153.83350853773</v>
      </c>
      <c r="Q26" s="17" t="n">
        <f aca="false">MIN(P26,OWN_HRS)*OWN_RATE+MAX(0,P26-OWN_HRS)*TEMP_RATE+O26*MES_FERT</f>
        <v>50129.7497082149</v>
      </c>
      <c r="R26" s="17" t="n">
        <f aca="false">Q26-Q25</f>
        <v>2116.45368569228</v>
      </c>
      <c r="S26" s="17" t="n">
        <f aca="false">MES_PRICE</f>
        <v>2700</v>
      </c>
      <c r="T26" s="25" t="str">
        <f aca="false">IF(R26&lt;=S26,"yes","no")</f>
        <v>yes</v>
      </c>
    </row>
    <row r="27" customFormat="false" ht="15" hidden="false" customHeight="false" outlineLevel="0" collapsed="false">
      <c r="O27" s="7" t="n">
        <v>21</v>
      </c>
      <c r="P27" s="12" t="n">
        <f aca="false">O27*MES_HRS*WEEKS*(1+MES_DIM)^O27</f>
        <v>1226.66924876417</v>
      </c>
      <c r="Q27" s="17" t="n">
        <f aca="false">MIN(P27,OWN_HRS)*OWN_RATE+MAX(0,P27-OWN_HRS)*TEMP_RATE+O27*MES_FERT</f>
        <v>52274.178158546</v>
      </c>
      <c r="R27" s="17" t="n">
        <f aca="false">Q27-Q26</f>
        <v>2144.42845033106</v>
      </c>
      <c r="S27" s="17" t="n">
        <f aca="false">MES_PRICE</f>
        <v>2700</v>
      </c>
      <c r="T27" s="25" t="str">
        <f aca="false">IF(R27&lt;=S27,"yes","no")</f>
        <v>yes</v>
      </c>
    </row>
    <row r="28" customFormat="false" ht="15" hidden="false" customHeight="false" outlineLevel="0" collapsed="false">
      <c r="O28" s="7" t="n">
        <v>22</v>
      </c>
      <c r="P28" s="12" t="n">
        <f aca="false">O28*MES_HRS*WEEKS*(1+MES_DIM)^O28</f>
        <v>1301.14559601057</v>
      </c>
      <c r="Q28" s="17" t="n">
        <f aca="false">MIN(P28,OWN_HRS)*OWN_RATE+MAX(0,P28-OWN_HRS)*TEMP_RATE+O28*MES_FERT</f>
        <v>54447.0875467434</v>
      </c>
      <c r="R28" s="17" t="n">
        <f aca="false">Q28-Q27</f>
        <v>2172.90938819744</v>
      </c>
      <c r="S28" s="17" t="n">
        <f aca="false">MES_PRICE</f>
        <v>2700</v>
      </c>
      <c r="T28" s="25" t="str">
        <f aca="false">IF(R28&lt;=S28,"yes","no")</f>
        <v>yes</v>
      </c>
    </row>
    <row r="29" customFormat="false" ht="15" hidden="false" customHeight="false" outlineLevel="0" collapsed="false">
      <c r="O29" s="7" t="n">
        <v>23</v>
      </c>
      <c r="P29" s="12" t="n">
        <f aca="false">O29*MES_HRS*WEEKS*(1+MES_DIM)^O29</f>
        <v>1377.292184868</v>
      </c>
      <c r="Q29" s="17" t="n">
        <f aca="false">MIN(P29,OWN_HRS)*OWN_RATE+MAX(0,P29-OWN_HRS)*TEMP_RATE+O29*MES_FERT</f>
        <v>56648.9923293085</v>
      </c>
      <c r="R29" s="17" t="n">
        <f aca="false">Q29-Q28</f>
        <v>2201.90478256509</v>
      </c>
      <c r="S29" s="17" t="n">
        <f aca="false">MES_PRICE</f>
        <v>2700</v>
      </c>
      <c r="T29" s="25" t="str">
        <f aca="false">IF(R29&lt;=S29,"yes","no")</f>
        <v>yes</v>
      </c>
    </row>
    <row r="30" customFormat="false" ht="15" hidden="false" customHeight="false" outlineLevel="0" collapsed="false">
      <c r="O30" s="7" t="n">
        <v>24</v>
      </c>
      <c r="P30" s="12" t="n">
        <f aca="false">O30*MES_HRS*WEEKS*(1+MES_DIM)^O30</f>
        <v>1455.1391344475</v>
      </c>
      <c r="Q30" s="17" t="n">
        <f aca="false">MIN(P30,OWN_HRS)*OWN_RATE+MAX(0,P30-OWN_HRS)*TEMP_RATE+O30*MES_FERT</f>
        <v>58880.4153740086</v>
      </c>
      <c r="R30" s="17" t="n">
        <f aca="false">Q30-Q29</f>
        <v>2231.42304470004</v>
      </c>
      <c r="S30" s="17" t="n">
        <f aca="false">MES_PRICE</f>
        <v>2700</v>
      </c>
      <c r="T30" s="25" t="str">
        <f aca="false">IF(R30&lt;=S30,"yes","no")</f>
        <v>yes</v>
      </c>
    </row>
    <row r="31" customFormat="false" ht="15" hidden="false" customHeight="false" outlineLevel="0" collapsed="false">
      <c r="O31" s="7" t="n">
        <v>25</v>
      </c>
      <c r="P31" s="12" t="n">
        <f aca="false">O31*MES_HRS*WEEKS*(1+MES_DIM)^O31</f>
        <v>1534.7170558626</v>
      </c>
      <c r="Q31" s="17" t="n">
        <f aca="false">MIN(P31,OWN_HRS)*OWN_RATE+MAX(0,P31-OWN_HRS)*TEMP_RATE+O31*MES_FERT</f>
        <v>61141.8880897747</v>
      </c>
      <c r="R31" s="17" t="n">
        <f aca="false">Q31-Q30</f>
        <v>2261.4727157661</v>
      </c>
      <c r="S31" s="17" t="n">
        <f aca="false">MES_PRICE</f>
        <v>2700</v>
      </c>
      <c r="T31" s="25" t="str">
        <f aca="false">IF(R31&lt;=S31,"yes","no")</f>
        <v>yes</v>
      </c>
    </row>
    <row r="32" customFormat="false" ht="15" hidden="false" customHeight="false" outlineLevel="0" collapsed="false">
      <c r="O32" s="7" t="n">
        <v>26</v>
      </c>
      <c r="P32" s="12" t="n">
        <f aca="false">O32*MES_HRS*WEEKS*(1+MES_DIM)^O32</f>
        <v>1616.05705982331</v>
      </c>
      <c r="Q32" s="17" t="n">
        <f aca="false">MIN(P32,OWN_HRS)*OWN_RATE+MAX(0,P32-OWN_HRS)*TEMP_RATE+O32*MES_FERT</f>
        <v>63433.9505585327</v>
      </c>
      <c r="R32" s="17" t="n">
        <f aca="false">Q32-Q31</f>
        <v>2292.06246875805</v>
      </c>
      <c r="S32" s="17" t="n">
        <f aca="false">MES_PRICE</f>
        <v>2700</v>
      </c>
      <c r="T32" s="25" t="str">
        <f aca="false">IF(R32&lt;=S32,"yes","no")</f>
        <v>yes</v>
      </c>
    </row>
    <row r="33" customFormat="false" ht="15" hidden="false" customHeight="false" outlineLevel="0" collapsed="false">
      <c r="O33" s="7" t="n">
        <v>27</v>
      </c>
      <c r="P33" s="12" t="n">
        <f aca="false">O33*MES_HRS*WEEKS*(1+MES_DIM)^O33</f>
        <v>1699.19076434307</v>
      </c>
      <c r="Q33" s="17" t="n">
        <f aca="false">MIN(P33,OWN_HRS)*OWN_RATE+MAX(0,P33-OWN_HRS)*TEMP_RATE+O33*MES_FERT</f>
        <v>65757.1516689957</v>
      </c>
      <c r="R33" s="17" t="n">
        <f aca="false">Q33-Q32</f>
        <v>2323.20111046299</v>
      </c>
      <c r="S33" s="17" t="n">
        <f aca="false">MES_PRICE</f>
        <v>2700</v>
      </c>
      <c r="T33" s="25" t="str">
        <f aca="false">IF(R33&lt;=S33,"yes","no")</f>
        <v>yes</v>
      </c>
    </row>
    <row r="34" customFormat="false" ht="15" hidden="false" customHeight="false" outlineLevel="0" collapsed="false">
      <c r="O34" s="7" t="n">
        <v>28</v>
      </c>
      <c r="P34" s="12" t="n">
        <f aca="false">O34*MES_HRS*WEEKS*(1+MES_DIM)^O34</f>
        <v>1784.15030256022</v>
      </c>
      <c r="Q34" s="17" t="n">
        <f aca="false">MIN(P34,OWN_HRS)*OWN_RATE+MAX(0,P34-OWN_HRS)*TEMP_RATE+O34*MES_FERT</f>
        <v>68112.0492524455</v>
      </c>
      <c r="R34" s="17" t="n">
        <f aca="false">Q34-Q33</f>
        <v>2354.89758344978</v>
      </c>
      <c r="S34" s="17" t="n">
        <f aca="false">MES_PRICE</f>
        <v>2700</v>
      </c>
      <c r="T34" s="25" t="str">
        <f aca="false">IF(R34&lt;=S34,"yes","no")</f>
        <v>yes</v>
      </c>
    </row>
    <row r="35" customFormat="false" ht="15" hidden="false" customHeight="false" outlineLevel="0" collapsed="false">
      <c r="O35" s="7" t="n">
        <v>29</v>
      </c>
      <c r="P35" s="12" t="n">
        <f aca="false">O35*MES_HRS*WEEKS*(1+MES_DIM)^O35</f>
        <v>1870.96833067588</v>
      </c>
      <c r="Q35" s="17" t="n">
        <f aca="false">MIN(P35,OWN_HRS)*OWN_RATE+MAX(0,P35-OWN_HRS)*TEMP_RATE+O35*MES_FERT</f>
        <v>70499.2102205332</v>
      </c>
      <c r="R35" s="17" t="n">
        <f aca="false">Q35-Q34</f>
        <v>2387.16096808774</v>
      </c>
      <c r="S35" s="17" t="n">
        <f aca="false">MES_PRICE</f>
        <v>2700</v>
      </c>
      <c r="T35" s="25" t="str">
        <f aca="false">IF(R35&lt;=S35,"yes","no")</f>
        <v>yes</v>
      </c>
    </row>
    <row r="36" customFormat="false" ht="15" hidden="false" customHeight="false" outlineLevel="0" collapsed="false">
      <c r="O36" s="7" t="n">
        <v>30</v>
      </c>
      <c r="P36" s="12" t="n">
        <f aca="false">O36*MES_HRS*WEEKS*(1+MES_DIM)^O36</f>
        <v>1959.67803600965</v>
      </c>
      <c r="Q36" s="17" t="n">
        <f aca="false">MIN(P36,OWN_HRS)*OWN_RATE+MAX(0,P36-OWN_HRS)*TEMP_RATE+O36*MES_FERT</f>
        <v>72919.2107051275</v>
      </c>
      <c r="R36" s="17" t="n">
        <f aca="false">Q36-Q35</f>
        <v>2420.00048459425</v>
      </c>
      <c r="S36" s="17" t="n">
        <f aca="false">MES_PRICE</f>
        <v>2700</v>
      </c>
      <c r="T36" s="25" t="str">
        <f aca="false">IF(R36&lt;=S36,"yes","no")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10" t="s">
        <v>103</v>
      </c>
      <c r="B3" s="10" t="s">
        <v>104</v>
      </c>
      <c r="C3" s="10" t="s">
        <v>1</v>
      </c>
    </row>
    <row r="4" customFormat="false" ht="15" hidden="false" customHeight="false" outlineLevel="0" collapsed="false">
      <c r="A4" s="11" t="s">
        <v>105</v>
      </c>
      <c r="B4" s="7" t="n">
        <v>10</v>
      </c>
      <c r="C4" s="13" t="s">
        <v>106</v>
      </c>
    </row>
    <row r="5" customFormat="false" ht="15" hidden="false" customHeight="false" outlineLevel="0" collapsed="false">
      <c r="A5" s="14" t="s">
        <v>107</v>
      </c>
      <c r="B5" s="7" t="n">
        <v>20</v>
      </c>
      <c r="C5" s="13" t="s">
        <v>108</v>
      </c>
    </row>
    <row r="6" customFormat="false" ht="15" hidden="false" customHeight="false" outlineLevel="0" collapsed="false">
      <c r="A6" s="15" t="s">
        <v>109</v>
      </c>
      <c r="B6" s="7" t="n">
        <v>30</v>
      </c>
      <c r="C6" s="13" t="s">
        <v>110</v>
      </c>
    </row>
    <row r="8" customFormat="false" ht="15" hidden="false" customHeight="false" outlineLevel="0" collapsed="false">
      <c r="A8" s="10" t="s">
        <v>111</v>
      </c>
      <c r="B8" s="17" t="n">
        <f aca="false">REVENUE-LABOR_COST-FERT_COST-OTHER_VAR_COST-FIXED_COST</f>
        <v>42775.1553877422</v>
      </c>
      <c r="C8" s="13" t="s">
        <v>112</v>
      </c>
    </row>
    <row r="11" customFormat="false" ht="15" hidden="false" customHeight="false" outlineLevel="0" collapsed="false">
      <c r="A11" s="10" t="s">
        <v>113</v>
      </c>
    </row>
    <row r="12" customFormat="false" ht="15" hidden="false" customHeight="false" outlineLevel="0" collapsed="false">
      <c r="A12" s="13" t="s">
        <v>114</v>
      </c>
    </row>
    <row r="13" customFormat="false" ht="15" hidden="false" customHeight="false" outlineLevel="0" collapsed="false">
      <c r="A13" s="13" t="s">
        <v>115</v>
      </c>
    </row>
    <row r="14" customFormat="false" ht="15" hidden="false" customHeight="false" outlineLevel="0" collapsed="false">
      <c r="A14" s="13" t="s">
        <v>116</v>
      </c>
    </row>
    <row r="15" customFormat="false" ht="15" hidden="false" customHeight="false" outlineLevel="0" collapsed="false">
      <c r="A15" s="13" t="s">
        <v>117</v>
      </c>
    </row>
    <row r="16" customFormat="false" ht="15" hidden="false" customHeight="false" outlineLevel="0" collapsed="false">
      <c r="A16" s="13" t="s">
        <v>118</v>
      </c>
    </row>
    <row r="17" customFormat="false" ht="15" hidden="false" customHeight="false" outlineLevel="0" collapsed="false">
      <c r="A17" s="1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2" t="s">
        <v>121</v>
      </c>
      <c r="B3" s="2" t="s">
        <v>122</v>
      </c>
      <c r="C3" s="2" t="s">
        <v>123</v>
      </c>
    </row>
    <row r="4" customFormat="false" ht="15" hidden="false" customHeight="false" outlineLevel="0" collapsed="false">
      <c r="A4" s="3" t="n">
        <v>1</v>
      </c>
      <c r="B4" s="3" t="s">
        <v>124</v>
      </c>
      <c r="C4" s="26" t="str">
        <f aca="false">IF(AND(TOM_BEDS&gt;=0,TOM_BEDS&lt;=TOM_CAP),"PASS","FAIL")</f>
        <v>PASS</v>
      </c>
    </row>
    <row r="5" customFormat="false" ht="15" hidden="false" customHeight="false" outlineLevel="0" collapsed="false">
      <c r="A5" s="3" t="n">
        <v>2</v>
      </c>
      <c r="B5" s="3" t="s">
        <v>125</v>
      </c>
      <c r="C5" s="26" t="str">
        <f aca="false">IF(AND(CAR_BEDS&gt;=0,CAR_BEDS&lt;=CAR_CAP),"PASS","FAIL")</f>
        <v>PASS</v>
      </c>
    </row>
    <row r="6" customFormat="false" ht="15" hidden="false" customHeight="false" outlineLevel="0" collapsed="false">
      <c r="A6" s="3" t="n">
        <v>3</v>
      </c>
      <c r="B6" s="3" t="s">
        <v>126</v>
      </c>
      <c r="C6" s="26" t="str">
        <f aca="false">IF(AND(MES_BEDS&gt;=0,MES_BEDS&lt;=MES_CAP),"PASS","FAIL")</f>
        <v>PASS</v>
      </c>
    </row>
    <row r="7" customFormat="false" ht="15" hidden="false" customHeight="false" outlineLevel="0" collapsed="false">
      <c r="A7" s="3" t="n">
        <v>4</v>
      </c>
      <c r="B7" s="3" t="s">
        <v>127</v>
      </c>
      <c r="C7" s="26" t="str">
        <f aca="false">IF(TOM_BEDS+CAR_BEDS+MES_BEDS&lt;=TOTAL_BEDS,"PASS","FAIL")</f>
        <v>PASS</v>
      </c>
    </row>
    <row r="8" customFormat="false" ht="15" hidden="false" customHeight="false" outlineLevel="0" collapsed="false">
      <c r="A8" s="3" t="n">
        <v>5</v>
      </c>
      <c r="B8" s="3" t="s">
        <v>128</v>
      </c>
      <c r="C8" s="26" t="str">
        <f aca="false">IF(TEMPS_NEEDED&lt;=MAX_TEMPS,"PASS","FAIL")</f>
        <v>PASS</v>
      </c>
    </row>
    <row r="9" customFormat="false" ht="15" hidden="false" customHeight="false" outlineLevel="0" collapsed="false">
      <c r="A9" s="3" t="n">
        <v>6</v>
      </c>
      <c r="B9" s="3" t="s">
        <v>129</v>
      </c>
      <c r="C9" s="26" t="str">
        <f aca="false">IF(AND(TOM_BEDS=INT(TOM_BEDS),CAR_BEDS=INT(CAR_BEDS),MES_BEDS=INT(MES_BEDS)),"PASS","FAIL")</f>
        <v>PASS</v>
      </c>
    </row>
    <row r="10" customFormat="false" ht="15" hidden="false" customHeight="false" outlineLevel="0" collapsed="false">
      <c r="A10" s="3" t="n">
        <v>7</v>
      </c>
      <c r="B10" s="3" t="s">
        <v>130</v>
      </c>
      <c r="C10" s="26" t="str">
        <f aca="false">IF(ABS(PROFIT-CHECK_PROFIT)&lt;=CHECK_TOL,"PASS","FAIL")</f>
        <v>PASS</v>
      </c>
    </row>
  </sheetData>
  <conditionalFormatting sqref="C4:C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10" t="s">
        <v>132</v>
      </c>
    </row>
    <row r="4" customFormat="false" ht="15" hidden="false" customHeight="false" outlineLevel="0" collapsed="false">
      <c r="A4" s="11" t="s">
        <v>105</v>
      </c>
      <c r="B4" s="16" t="n">
        <f aca="false">TOM_BEDS</f>
        <v>10</v>
      </c>
    </row>
    <row r="5" customFormat="false" ht="15" hidden="false" customHeight="false" outlineLevel="0" collapsed="false">
      <c r="A5" s="14" t="s">
        <v>107</v>
      </c>
      <c r="B5" s="16" t="n">
        <f aca="false">CAR_BEDS</f>
        <v>20</v>
      </c>
    </row>
    <row r="6" customFormat="false" ht="15" hidden="false" customHeight="false" outlineLevel="0" collapsed="false">
      <c r="A6" s="15" t="s">
        <v>109</v>
      </c>
      <c r="B6" s="16" t="n">
        <f aca="false">MES_BEDS</f>
        <v>30</v>
      </c>
    </row>
    <row r="8" customFormat="false" ht="15" hidden="false" customHeight="false" outlineLevel="0" collapsed="false">
      <c r="A8" s="10" t="s">
        <v>133</v>
      </c>
    </row>
    <row r="9" customFormat="false" ht="15" hidden="false" customHeight="false" outlineLevel="0" collapsed="false">
      <c r="A9" s="13" t="s">
        <v>67</v>
      </c>
      <c r="B9" s="17" t="n">
        <f aca="false">REVENUE</f>
        <v>210880</v>
      </c>
    </row>
    <row r="10" customFormat="false" ht="15" hidden="false" customHeight="false" outlineLevel="0" collapsed="false">
      <c r="A10" s="13" t="s">
        <v>134</v>
      </c>
      <c r="B10" s="17" t="n">
        <f aca="false">LABOR_COST</f>
        <v>104104.844612258</v>
      </c>
    </row>
    <row r="11" customFormat="false" ht="15" hidden="false" customHeight="false" outlineLevel="0" collapsed="false">
      <c r="A11" s="13" t="s">
        <v>69</v>
      </c>
      <c r="B11" s="17" t="n">
        <f aca="false">FERT_COST</f>
        <v>44000</v>
      </c>
    </row>
    <row r="12" customFormat="false" ht="15" hidden="false" customHeight="false" outlineLevel="0" collapsed="false">
      <c r="A12" s="10" t="s">
        <v>135</v>
      </c>
      <c r="B12" s="17" t="n">
        <f aca="false">PROFIT</f>
        <v>42775.1553877422</v>
      </c>
    </row>
    <row r="14" customFormat="false" ht="15" hidden="false" customHeight="false" outlineLevel="0" collapsed="false">
      <c r="A14" s="10" t="s">
        <v>136</v>
      </c>
    </row>
    <row r="15" customFormat="false" ht="15" hidden="false" customHeight="false" outlineLevel="0" collapsed="false">
      <c r="A15" s="13" t="s">
        <v>58</v>
      </c>
      <c r="B15" s="12" t="n">
        <f aca="false">TOTAL_LABOR</f>
        <v>5276.82284632822</v>
      </c>
    </row>
    <row r="16" customFormat="false" ht="15" hidden="false" customHeight="false" outlineLevel="0" collapsed="false">
      <c r="A16" s="13" t="s">
        <v>137</v>
      </c>
      <c r="B16" s="12" t="n">
        <f aca="false">OWN_USED</f>
        <v>720</v>
      </c>
    </row>
    <row r="17" customFormat="false" ht="15" hidden="false" customHeight="false" outlineLevel="0" collapsed="false">
      <c r="A17" s="13" t="s">
        <v>62</v>
      </c>
      <c r="B17" s="12" t="n">
        <f aca="false">TEMP_LABOR</f>
        <v>4556.82284632822</v>
      </c>
    </row>
    <row r="18" customFormat="false" ht="15" hidden="false" customHeight="false" outlineLevel="0" collapsed="false">
      <c r="A18" s="13" t="s">
        <v>64</v>
      </c>
      <c r="B18" s="16" t="n">
        <f aca="false">TEMPS_NEEDED</f>
        <v>4</v>
      </c>
    </row>
    <row r="19" customFormat="false" ht="15" hidden="false" customHeight="false" outlineLevel="0" collapsed="false">
      <c r="A19" s="13" t="s">
        <v>74</v>
      </c>
      <c r="B19" s="18" t="n">
        <f aca="false">BLENDED_RATE</f>
        <v>19.7286980525976</v>
      </c>
    </row>
    <row r="21" customFormat="false" ht="15" hidden="false" customHeight="false" outlineLevel="0" collapsed="false">
      <c r="A21" s="10" t="s">
        <v>138</v>
      </c>
    </row>
    <row r="22" customFormat="false" ht="15" hidden="false" customHeight="false" outlineLevel="0" collapsed="false">
      <c r="A22" s="11" t="s">
        <v>82</v>
      </c>
      <c r="B22" s="17" t="n">
        <f aca="false">TOM_PROFIT</f>
        <v>33145.9543606369</v>
      </c>
    </row>
    <row r="23" customFormat="false" ht="15" hidden="false" customHeight="false" outlineLevel="0" collapsed="false">
      <c r="A23" s="14" t="s">
        <v>84</v>
      </c>
      <c r="B23" s="17" t="n">
        <f aca="false">CAR_PROFIT</f>
        <v>13691.097279847</v>
      </c>
    </row>
    <row r="24" customFormat="false" ht="15" hidden="false" customHeight="false" outlineLevel="0" collapsed="false">
      <c r="A24" s="15" t="s">
        <v>86</v>
      </c>
      <c r="B24" s="17" t="n">
        <f aca="false">MES_PROFIT</f>
        <v>15938.1037472583</v>
      </c>
    </row>
    <row r="25" customFormat="false" ht="15" hidden="false" customHeight="false" outlineLevel="0" collapsed="false">
      <c r="A25" s="13" t="s">
        <v>139</v>
      </c>
      <c r="B25" s="17" t="n">
        <f aca="false">-OTHER_VAR_COST</f>
        <v>-0</v>
      </c>
    </row>
    <row r="26" customFormat="false" ht="15" hidden="false" customHeight="false" outlineLevel="0" collapsed="false">
      <c r="A26" s="13" t="s">
        <v>140</v>
      </c>
      <c r="B26" s="17" t="n">
        <f aca="false">-FIXED_COST</f>
        <v>-20000</v>
      </c>
    </row>
    <row r="27" customFormat="false" ht="15" hidden="false" customHeight="false" outlineLevel="0" collapsed="false">
      <c r="A27" s="10" t="s">
        <v>141</v>
      </c>
      <c r="B27" s="17" t="n">
        <f aca="false">TOM_PROFIT+CAR_PROFIT+MES_PROFIT-OTHER_VAR_COST-FIXED_COST</f>
        <v>42775.1553877422</v>
      </c>
    </row>
    <row r="29" customFormat="false" ht="15" hidden="false" customHeight="false" outlineLevel="0" collapsed="false">
      <c r="A29" s="10" t="s">
        <v>142</v>
      </c>
    </row>
    <row r="30" customFormat="false" ht="15" hidden="false" customHeight="false" outlineLevel="0" collapsed="false">
      <c r="A30" s="11" t="s">
        <v>143</v>
      </c>
      <c r="B30" s="16" t="n">
        <f aca="false">TOM_CROSS</f>
        <v>10</v>
      </c>
    </row>
    <row r="31" customFormat="false" ht="15" hidden="false" customHeight="false" outlineLevel="0" collapsed="false">
      <c r="A31" s="14" t="s">
        <v>144</v>
      </c>
      <c r="B31" s="16" t="n">
        <f aca="false">CAR_CROSS</f>
        <v>10</v>
      </c>
    </row>
    <row r="32" customFormat="false" ht="15" hidden="false" customHeight="false" outlineLevel="0" collapsed="false">
      <c r="A32" s="15" t="s">
        <v>145</v>
      </c>
      <c r="B32" s="16" t="n">
        <f aca="false">MES_CROSS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2026-10-16T23:49:33Z</dcterms:created>
  <dc:creator>openpyxl</dc:creator>
  <dc:description/>
  <dc:language>en-US</dc:language>
  <cp:lastModifiedBy/>
  <dcterms:modified xsi:type="dcterms:W3CDTF">2026-10-16T23:49:33Z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